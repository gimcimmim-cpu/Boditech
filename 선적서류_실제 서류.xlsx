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AI\패킹리스트 자동화\260504 테스트\"/>
    </mc:Choice>
  </mc:AlternateContent>
  <xr:revisionPtr revIDLastSave="0" documentId="13_ncr:1_{2C7843DC-C31D-42AD-98FE-FE2444CF4026}" xr6:coauthVersionLast="47" xr6:coauthVersionMax="47" xr10:uidLastSave="{00000000-0000-0000-0000-000000000000}"/>
  <bookViews>
    <workbookView xWindow="-120" yWindow="-120" windowWidth="29040" windowHeight="15720" activeTab="1" xr2:uid="{F959EFAF-535D-4FF5-AD0B-2F66303D3F42}"/>
  </bookViews>
  <sheets>
    <sheet name="CI" sheetId="3" r:id="rId1"/>
    <sheet name="PL" sheetId="4" r:id="rId2"/>
  </sheets>
  <externalReferences>
    <externalReference r:id="rId3"/>
  </externalReferences>
  <definedNames>
    <definedName name="Accessory">OFFSET([1]Accessory!$A$1,0,0,COUNTA([1]Accessory!$A:$A)+4,6)</definedName>
    <definedName name="AFIAS">OFFSET([1]AFIAS!$A$1,0,0,COUNTA([1]AFIAS!$A:$A)+4,6)</definedName>
    <definedName name="COMPANY">OFFSET([1]AFIAS!$B$3,0,0,COUNTA([1]AFIAS!$B:$B)+1,2)</definedName>
    <definedName name="Con">OFFSET('[1]Con, Cal'!$A$1,0,0,COUNTA('[1]Con, Cal'!$A:$A)+4,6)</definedName>
    <definedName name="COUNTRY">OFFSET([1]AFIAS!$B$3,0,0,COUNTA([1]AFIAS!$B:$B)+1,1)</definedName>
    <definedName name="ichroma">OFFSET([1]ichroma!$A$1,0,0,COUNTA([1]ichroma!$A:$A)+4,6)</definedName>
    <definedName name="instrument">OFFSET([1]instrument!$A$1,0,0,COUNTA([1]instrument!$A:$A)+4,6)</definedName>
    <definedName name="_xlnm.Print_Area" localSheetId="0">CI!$A$1:$G$84</definedName>
    <definedName name="SCOMPANY">OFFSET([1]Data2!$E$2,0,0,COUNTA([1]Data2!$E:$E),1)</definedName>
    <definedName name="SCOUNTRY">OFFSET([1]Data2!$B$2,0,0,COUNTA([1]Data2!$B:$B),1)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" i="4" l="1"/>
  <c r="G57" i="4"/>
  <c r="G58" i="4"/>
  <c r="G59" i="4"/>
  <c r="G60" i="4"/>
  <c r="G61" i="4"/>
  <c r="G62" i="4"/>
  <c r="G63" i="4"/>
  <c r="G64" i="4"/>
  <c r="F88" i="4"/>
  <c r="A68" i="4"/>
  <c r="F86" i="4"/>
  <c r="A52" i="4"/>
  <c r="A25" i="4"/>
  <c r="A29" i="4"/>
  <c r="A30" i="4"/>
  <c r="A31" i="4"/>
  <c r="A32" i="4"/>
  <c r="A33" i="4"/>
  <c r="A34" i="4"/>
  <c r="A38" i="4"/>
  <c r="A41" i="4"/>
  <c r="A42" i="4"/>
  <c r="A44" i="4"/>
  <c r="A47" i="4"/>
  <c r="A50" i="4"/>
  <c r="F64" i="4"/>
  <c r="A60" i="4"/>
  <c r="A63" i="4"/>
  <c r="A59" i="4"/>
  <c r="A57" i="4"/>
  <c r="A56" i="4"/>
  <c r="A58" i="4"/>
  <c r="A62" i="4"/>
  <c r="A61" i="4"/>
  <c r="A65" i="4"/>
  <c r="A64" i="4"/>
  <c r="E18" i="4"/>
  <c r="H87" i="4"/>
  <c r="D18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72" i="3"/>
  <c r="G74" i="3"/>
</calcChain>
</file>

<file path=xl/sharedStrings.xml><?xml version="1.0" encoding="utf-8"?>
<sst xmlns="http://schemas.openxmlformats.org/spreadsheetml/2006/main" count="452" uniqueCount="293">
  <si>
    <r>
      <t>Supplier/Exporter:</t>
    </r>
    <r>
      <rPr>
        <sz val="10"/>
        <color indexed="8"/>
        <rFont val="Arial"/>
        <family val="2"/>
      </rPr>
      <t xml:space="preserve"> </t>
    </r>
  </si>
  <si>
    <t>Boditech Med Inc.</t>
    <phoneticPr fontId="0" type="noConversion"/>
  </si>
  <si>
    <t>T. +82-33-243-1400 / F. +82-33-243-9373</t>
    <phoneticPr fontId="0" type="noConversion"/>
  </si>
  <si>
    <t xml:space="preserve">INVOICE NO.: </t>
    <phoneticPr fontId="0" type="noConversion"/>
  </si>
  <si>
    <t xml:space="preserve">Date : </t>
    <phoneticPr fontId="0" type="noConversion"/>
  </si>
  <si>
    <t>Ship To:</t>
    <phoneticPr fontId="0" type="noConversion"/>
  </si>
  <si>
    <t>Bill To:</t>
    <phoneticPr fontId="0" type="noConversion"/>
  </si>
  <si>
    <t>Gevara UAB</t>
    <phoneticPr fontId="0" type="noConversion"/>
  </si>
  <si>
    <t>Diaquip Limited</t>
    <phoneticPr fontId="0" type="noConversion"/>
  </si>
  <si>
    <t>Liepkalnio g. 172E, Vilnius 02121</t>
    <phoneticPr fontId="0" type="noConversion"/>
  </si>
  <si>
    <t>Contact: Aleksej Kochanenko</t>
    <phoneticPr fontId="0" type="noConversion"/>
  </si>
  <si>
    <t>Tel :  +370 602 76507 / E-mail: alk@diaquip.ltd.uk</t>
    <phoneticPr fontId="0" type="noConversion"/>
  </si>
  <si>
    <t>Aleksej Kochanenko</t>
    <phoneticPr fontId="0" type="noConversion"/>
  </si>
  <si>
    <t>Export Reference</t>
    <phoneticPr fontId="0" type="noConversion"/>
  </si>
  <si>
    <t>Date of Exportation</t>
    <phoneticPr fontId="0" type="noConversion"/>
  </si>
  <si>
    <t>Country of Export &amp; Origin of Goods</t>
    <phoneticPr fontId="0" type="noConversion"/>
  </si>
  <si>
    <t>Courier</t>
    <phoneticPr fontId="0" type="noConversion"/>
  </si>
  <si>
    <t>Republic of KOREA</t>
    <phoneticPr fontId="0" type="noConversion"/>
  </si>
  <si>
    <t>Country of Ultimate Destination</t>
    <phoneticPr fontId="0" type="noConversion"/>
  </si>
  <si>
    <t>Payment terms / Shipping terms</t>
    <phoneticPr fontId="0" type="noConversion"/>
  </si>
  <si>
    <t>Lithuania</t>
    <phoneticPr fontId="0" type="noConversion"/>
  </si>
  <si>
    <t>T/T in advance / CPT</t>
    <phoneticPr fontId="0" type="noConversion"/>
  </si>
  <si>
    <t>Pos.</t>
  </si>
  <si>
    <t>Cat#</t>
  </si>
  <si>
    <t>Product Description</t>
    <phoneticPr fontId="0" type="noConversion"/>
  </si>
  <si>
    <t>Unit</t>
    <phoneticPr fontId="0" type="noConversion"/>
  </si>
  <si>
    <t>Quantity</t>
  </si>
  <si>
    <t>Unit Price</t>
  </si>
  <si>
    <t>Price</t>
  </si>
  <si>
    <t>USD</t>
  </si>
  <si>
    <t>TOTAL</t>
  </si>
  <si>
    <t>These commodities, technology, or software were exported from KOREA in accordance with the Export Administration regulations.</t>
    <phoneticPr fontId="0" type="noConversion"/>
  </si>
  <si>
    <r>
      <t>Banking Details</t>
    </r>
    <r>
      <rPr>
        <b/>
        <sz val="10"/>
        <color indexed="8"/>
        <rFont val="Arial"/>
        <family val="2"/>
      </rPr>
      <t xml:space="preserve"> </t>
    </r>
  </si>
  <si>
    <t>Signature of Shipper:</t>
    <phoneticPr fontId="0" type="noConversion"/>
  </si>
  <si>
    <t>Boditech Med Inc.</t>
  </si>
  <si>
    <t xml:space="preserve">Swift Code/Routing No : HVBK KRSE </t>
  </si>
  <si>
    <t>I declare all information in this invoice to be true and correct</t>
    <phoneticPr fontId="0" type="noConversion"/>
  </si>
  <si>
    <t>Subtotal Product only</t>
  </si>
  <si>
    <t>Shipping charge</t>
  </si>
  <si>
    <t>WOORI BANK, CHUNCHEON</t>
  </si>
  <si>
    <t>Account No : 1081 300 393742</t>
  </si>
  <si>
    <t>43. Geodudanji 1-gil. Dongnae-myeon</t>
  </si>
  <si>
    <t>Chuncheon-si. Gangwon-do . Republic of Korea 24398</t>
  </si>
  <si>
    <t>Clippers House,Clippers Quay, Salford Quays,
Greater Manchester M50 3XP, United Kingdom
VAT GB201978706</t>
  </si>
  <si>
    <t>CFPC-133</t>
  </si>
  <si>
    <t>CFPC-23-1</t>
  </si>
  <si>
    <t>25 T/Box</t>
  </si>
  <si>
    <t>ichroma™ Vitamin D Neo</t>
  </si>
  <si>
    <t>ichroma™ PCT</t>
  </si>
  <si>
    <t>CFPC-43</t>
  </si>
  <si>
    <t>ichroma™ Cystatin C</t>
  </si>
  <si>
    <t>AZK260303-1</t>
    <phoneticPr fontId="37" type="noConversion"/>
  </si>
  <si>
    <t>Purchase order: A1002848</t>
    <phoneticPr fontId="37" type="noConversion"/>
  </si>
  <si>
    <t>i-CHROMA CRP-25</t>
  </si>
  <si>
    <t>ichroma™ CRP</t>
  </si>
  <si>
    <t>CFPC-32</t>
  </si>
  <si>
    <t>ichroma™ Ferritin</t>
  </si>
  <si>
    <t>CFPC-35</t>
  </si>
  <si>
    <t>ichroma™ FSH</t>
  </si>
  <si>
    <t>CFPC-24</t>
  </si>
  <si>
    <t>ichroma™ Cortisol</t>
  </si>
  <si>
    <t>CFPC-164</t>
  </si>
  <si>
    <t>ichroma™ Free T4</t>
  </si>
  <si>
    <t>CFPC-116</t>
  </si>
  <si>
    <t>ichroma™ IL-6</t>
  </si>
  <si>
    <t>CFPC-157</t>
  </si>
  <si>
    <t>ichroma™ PSA Neo</t>
  </si>
  <si>
    <t>CFPC-97</t>
  </si>
  <si>
    <t>ichroma™ Anti-CCP Plus</t>
  </si>
  <si>
    <t>CFPC-139</t>
  </si>
  <si>
    <t>ichroma™ CA19-9</t>
  </si>
  <si>
    <t>CFPC-83</t>
  </si>
  <si>
    <t>ichroma™ Calprotectin</t>
  </si>
  <si>
    <t>CFPC-158</t>
  </si>
  <si>
    <t>ichroma™ CEA Neo</t>
  </si>
  <si>
    <t>CFPC-152</t>
  </si>
  <si>
    <t>ichroma™ CK-MB Neo</t>
  </si>
  <si>
    <t>CFPC-153</t>
  </si>
  <si>
    <t>ichroma™ D-Dimer Neo</t>
  </si>
  <si>
    <t>CFPC-81</t>
  </si>
  <si>
    <t>ichroma™ H.pylori SA</t>
  </si>
  <si>
    <t>CFPC-151</t>
  </si>
  <si>
    <t>ichroma™ Myoglobin Neo</t>
  </si>
  <si>
    <t>CFPC-91</t>
  </si>
  <si>
    <t>ichroma™ Total IgE</t>
  </si>
  <si>
    <t>ichroma™ LH</t>
  </si>
  <si>
    <t>i-CHROMA MAU-25</t>
  </si>
  <si>
    <t>ichroma™ Microalbumin</t>
  </si>
  <si>
    <t>CFPC-77</t>
  </si>
  <si>
    <t>ichroma™ NT-proBNP</t>
  </si>
  <si>
    <t>CFPC-27</t>
  </si>
  <si>
    <t>ichroma™ PRL</t>
  </si>
  <si>
    <t>CFPC-26</t>
  </si>
  <si>
    <t>ichroma™ T4</t>
  </si>
  <si>
    <t>CFPC-22</t>
  </si>
  <si>
    <t>ichroma™ TSH</t>
  </si>
  <si>
    <t>10 T/Box</t>
  </si>
  <si>
    <t>CFPC-44</t>
  </si>
  <si>
    <t>ichroma™ T3</t>
  </si>
  <si>
    <t>CFPC-65</t>
  </si>
  <si>
    <t>ichroma™ Tn-I Plus</t>
  </si>
  <si>
    <t>CFPO-288</t>
  </si>
  <si>
    <t>Boditech Anti-CCP Plus control</t>
  </si>
  <si>
    <t>2vial/box</t>
  </si>
  <si>
    <t>CFPO-98</t>
  </si>
  <si>
    <t>Boditech Cardiac Control</t>
  </si>
  <si>
    <t>CFPO-204</t>
  </si>
  <si>
    <t>Boditech Cardiac Triple Control</t>
  </si>
  <si>
    <t>6 tube/pouch</t>
  </si>
  <si>
    <t>CFPO-100</t>
  </si>
  <si>
    <t>Boditech CRP Control</t>
  </si>
  <si>
    <t>CFPO-101</t>
  </si>
  <si>
    <t>Boditech D-Dimer Control</t>
  </si>
  <si>
    <t>CFPO-99</t>
  </si>
  <si>
    <t>Boditech Ferritin Control</t>
  </si>
  <si>
    <t>CFPO-96</t>
  </si>
  <si>
    <t>Boditech HbA1c Control</t>
  </si>
  <si>
    <t>CFPO-95</t>
  </si>
  <si>
    <t>Boditech Hormone Control</t>
  </si>
  <si>
    <t>CFPO-296</t>
  </si>
  <si>
    <t>Boditech IL-6 Control</t>
  </si>
  <si>
    <t>CFPO-97</t>
  </si>
  <si>
    <t>Boditech PCT Control</t>
  </si>
  <si>
    <t>CFPO-241</t>
  </si>
  <si>
    <t>Boditech Tn-I Control</t>
  </si>
  <si>
    <t>CFPO-212</t>
  </si>
  <si>
    <t>Boditech Tn-I Plus Control</t>
  </si>
  <si>
    <t>CFPO-94</t>
  </si>
  <si>
    <t>Boditech Tumor Marker Control</t>
  </si>
  <si>
    <t>CFPO-4</t>
  </si>
  <si>
    <t>Boditech MAU Control</t>
  </si>
  <si>
    <t>CFPO-102</t>
  </si>
  <si>
    <t>Boditech Vitamin D Control</t>
  </si>
  <si>
    <t>CFPO-245</t>
  </si>
  <si>
    <t>Boditech NT-proBNP Control</t>
  </si>
  <si>
    <t>hemochroma PLUS Calibrator</t>
  </si>
  <si>
    <t>hemochroma Plus Control</t>
  </si>
  <si>
    <t>CFPO-35</t>
  </si>
  <si>
    <t>CFPO-30</t>
  </si>
  <si>
    <t>FPCC152</t>
  </si>
  <si>
    <t>ichroma System Check Cartridge</t>
  </si>
  <si>
    <t>1 T/Box</t>
    <phoneticPr fontId="37" type="noConversion"/>
  </si>
  <si>
    <t>Set</t>
    <phoneticPr fontId="37" type="noConversion"/>
  </si>
  <si>
    <t>1vial/box</t>
    <phoneticPr fontId="37" type="noConversion"/>
  </si>
  <si>
    <r>
      <t>COMMERCIAL INVOICE</t>
    </r>
    <r>
      <rPr>
        <sz val="20.5"/>
        <color indexed="8"/>
        <rFont val="Arial"/>
        <family val="2"/>
      </rPr>
      <t xml:space="preserve"> </t>
    </r>
    <phoneticPr fontId="37" type="noConversion"/>
  </si>
  <si>
    <t>E-mail : cyh1@boditech.co.kr</t>
    <phoneticPr fontId="37" type="noConversion"/>
  </si>
  <si>
    <t>Forwarder</t>
    <phoneticPr fontId="0" type="noConversion"/>
  </si>
  <si>
    <t>Yehee Cho</t>
    <phoneticPr fontId="37" type="noConversion"/>
  </si>
  <si>
    <t>Boditech Med Inc.</t>
    <phoneticPr fontId="45" type="noConversion"/>
  </si>
  <si>
    <t xml:space="preserve">Signature of Shipper: </t>
  </si>
  <si>
    <t>I declare all information in this packing list to be true and correct</t>
    <phoneticPr fontId="45" type="noConversion"/>
  </si>
  <si>
    <t>615X440X340</t>
    <phoneticPr fontId="37" type="noConversion"/>
  </si>
  <si>
    <t>Specification of box
(mm)</t>
    <phoneticPr fontId="45" type="noConversion"/>
  </si>
  <si>
    <t>weight
(kg)</t>
    <phoneticPr fontId="45" type="noConversion"/>
  </si>
  <si>
    <t>Quantity
(box)</t>
    <phoneticPr fontId="45" type="noConversion"/>
  </si>
  <si>
    <t>Package
Unit</t>
    <phoneticPr fontId="45" type="noConversion"/>
  </si>
  <si>
    <t>Exp date</t>
    <phoneticPr fontId="37" type="noConversion"/>
  </si>
  <si>
    <t>Lot. No</t>
    <phoneticPr fontId="45" type="noConversion"/>
  </si>
  <si>
    <t>Product Name</t>
    <phoneticPr fontId="45" type="noConversion"/>
  </si>
  <si>
    <t>Marking No.</t>
    <phoneticPr fontId="45" type="noConversion"/>
  </si>
  <si>
    <t>T/T in advance / CPT</t>
    <phoneticPr fontId="37" type="noConversion"/>
  </si>
  <si>
    <t>Lithuania</t>
    <phoneticPr fontId="37" type="noConversion"/>
  </si>
  <si>
    <t>Payment terms / Shipping terms</t>
    <phoneticPr fontId="37" type="noConversion"/>
  </si>
  <si>
    <t>Country of Ultimate Destination</t>
    <phoneticPr fontId="37" type="noConversion"/>
  </si>
  <si>
    <t>Forwarder</t>
    <phoneticPr fontId="37" type="noConversion"/>
  </si>
  <si>
    <t>Republic of KOREA</t>
    <phoneticPr fontId="37" type="noConversion"/>
  </si>
  <si>
    <t>Courier</t>
    <phoneticPr fontId="37" type="noConversion"/>
  </si>
  <si>
    <t>Country of Export &amp; Origin of Goods</t>
    <phoneticPr fontId="37" type="noConversion"/>
  </si>
  <si>
    <t>Date of Exportation</t>
    <phoneticPr fontId="37" type="noConversion"/>
  </si>
  <si>
    <t>Export Reference</t>
    <phoneticPr fontId="37" type="noConversion"/>
  </si>
  <si>
    <t>Aleksej Kochanenko</t>
    <phoneticPr fontId="45" type="noConversion"/>
  </si>
  <si>
    <t>Tel :  +370 602 76507 / E-mail: alk@diaquip.ltd.uk</t>
    <phoneticPr fontId="37" type="noConversion"/>
  </si>
  <si>
    <t>Contact: Aleksej Kochanenko</t>
    <phoneticPr fontId="37" type="noConversion"/>
  </si>
  <si>
    <t>Clippers House,Clippers Quay, Salford Quays,
Greater Manchester M50 3XP, United Kingdom</t>
    <phoneticPr fontId="45" type="noConversion"/>
  </si>
  <si>
    <t>Liepkalnio g. 172E, Vilnius 02121</t>
    <phoneticPr fontId="37" type="noConversion"/>
  </si>
  <si>
    <t>Diaquip Limited</t>
    <phoneticPr fontId="45" type="noConversion"/>
  </si>
  <si>
    <t>Gevara UAB</t>
    <phoneticPr fontId="37" type="noConversion"/>
  </si>
  <si>
    <t>Bill To:</t>
    <phoneticPr fontId="37" type="noConversion"/>
  </si>
  <si>
    <t xml:space="preserve">Ship To : </t>
    <phoneticPr fontId="37" type="noConversion"/>
  </si>
  <si>
    <t xml:space="preserve">Date : </t>
    <phoneticPr fontId="37" type="noConversion"/>
  </si>
  <si>
    <t xml:space="preserve">INVOICE NO.: </t>
    <phoneticPr fontId="37" type="noConversion"/>
  </si>
  <si>
    <t>Tel. +82-33-243-1400 / Fax. +82-33-243-9373</t>
  </si>
  <si>
    <t>Chuncheon-si, Gangwon-do, Republic of Korea 24398</t>
    <phoneticPr fontId="37" type="noConversion"/>
  </si>
  <si>
    <t>43, Geodudanji 1-gil, Dongnae-myeon</t>
  </si>
  <si>
    <t xml:space="preserve">BODITECH MED INC. </t>
  </si>
  <si>
    <t xml:space="preserve">Supplier/Exporter: </t>
  </si>
  <si>
    <t>PACKING LIST</t>
    <phoneticPr fontId="45" type="noConversion"/>
  </si>
  <si>
    <t>25T/box</t>
  </si>
  <si>
    <t>ichroma Cystatin C</t>
  </si>
  <si>
    <t>2027-07-20</t>
  </si>
  <si>
    <t>DCOVKC02</t>
  </si>
  <si>
    <t xml:space="preserve">ichroma Cortisol </t>
  </si>
  <si>
    <t>2027-06-15</t>
  </si>
  <si>
    <t>KCVYB05EX</t>
  </si>
  <si>
    <t xml:space="preserve">ichroma CK-MB Neo </t>
  </si>
  <si>
    <t>2027-07-16</t>
  </si>
  <si>
    <t>CEVKB05EX</t>
  </si>
  <si>
    <t xml:space="preserve">ichroma CEA Neo </t>
  </si>
  <si>
    <t>2027-09-12</t>
  </si>
  <si>
    <t>KDWAG01EX</t>
  </si>
  <si>
    <t>ichroma D-Dimer Neo</t>
  </si>
  <si>
    <t>2027-05-17</t>
  </si>
  <si>
    <t>DT4VXP02</t>
  </si>
  <si>
    <t>ichroma T4</t>
  </si>
  <si>
    <t>ichroma T3</t>
  </si>
  <si>
    <t>2027-08-01</t>
  </si>
  <si>
    <t>F4VLF10</t>
  </si>
  <si>
    <t>ichroma Free T4</t>
  </si>
  <si>
    <t>2027-06-01</t>
  </si>
  <si>
    <t>DFRVYC12</t>
  </si>
  <si>
    <t>ichroma Ferritin</t>
  </si>
  <si>
    <t>2027-06-12</t>
  </si>
  <si>
    <t>DPLVYH12</t>
  </si>
  <si>
    <t xml:space="preserve">ichroma PRL </t>
  </si>
  <si>
    <t>2027-08-16</t>
  </si>
  <si>
    <t>NBVLH03E</t>
  </si>
  <si>
    <t xml:space="preserve">ichroma NT-ProBNP </t>
  </si>
  <si>
    <t>2027-08-02</t>
  </si>
  <si>
    <t>KMVLB08EX</t>
  </si>
  <si>
    <t>ichroma Myoglobin Neo</t>
  </si>
  <si>
    <t>2027-08-10</t>
  </si>
  <si>
    <t>VEVLX10E</t>
  </si>
  <si>
    <t xml:space="preserve">ichroma Vitamin D Neo </t>
  </si>
  <si>
    <t>2027-07-02</t>
  </si>
  <si>
    <t>DTSVKQ11</t>
  </si>
  <si>
    <t>ichroma TSH</t>
  </si>
  <si>
    <t>2027-05-21</t>
  </si>
  <si>
    <t>DFSVXE08</t>
  </si>
  <si>
    <t xml:space="preserve">ichroma FSH </t>
  </si>
  <si>
    <t>DLHVLD09</t>
  </si>
  <si>
    <t xml:space="preserve">ichroma LH </t>
  </si>
  <si>
    <t xml:space="preserve">ichroma PSA Neo </t>
  </si>
  <si>
    <t>2027-04-25</t>
  </si>
  <si>
    <t>CXVHB05EX</t>
  </si>
  <si>
    <t xml:space="preserve">ichroma CA19-9 </t>
  </si>
  <si>
    <t>ichroma Total IgE</t>
  </si>
  <si>
    <t>2027-09-06</t>
  </si>
  <si>
    <t>TGWAM10EX</t>
  </si>
  <si>
    <t>ichroma Tn-I Plus</t>
  </si>
  <si>
    <t>MAVXH12EX</t>
  </si>
  <si>
    <t>ichroma Microalbumin</t>
  </si>
  <si>
    <t>CRVLX07</t>
  </si>
  <si>
    <t>ichroma CRP</t>
  </si>
  <si>
    <t>ACVLE04E</t>
  </si>
  <si>
    <t>ichroma Anti-CCP Plus</t>
  </si>
  <si>
    <t>T</t>
  </si>
  <si>
    <t>ichroma System Check Cartridge</t>
    <phoneticPr fontId="45" type="noConversion"/>
  </si>
  <si>
    <t>2027-01-20</t>
  </si>
  <si>
    <t>ILVEC02</t>
  </si>
  <si>
    <t>ichroma IL-6</t>
  </si>
  <si>
    <t>2027-09-27</t>
  </si>
  <si>
    <t>HSWAY11</t>
  </si>
  <si>
    <t>ichroma H.pylori SA</t>
  </si>
  <si>
    <t>CPWBD12Z</t>
  </si>
  <si>
    <t xml:space="preserve">ichroma Calprotectin </t>
  </si>
  <si>
    <t>650X425X460</t>
    <phoneticPr fontId="37" type="noConversion"/>
  </si>
  <si>
    <t>10T/box</t>
  </si>
  <si>
    <t>2027-10-02</t>
  </si>
  <si>
    <t>PWWBF07EX</t>
  </si>
  <si>
    <t>ichroma PCT</t>
  </si>
  <si>
    <t>595X440X580</t>
    <phoneticPr fontId="37" type="noConversion"/>
  </si>
  <si>
    <t>1vial/box</t>
  </si>
  <si>
    <t>Hemochroma Plus Control</t>
    <phoneticPr fontId="45" type="noConversion"/>
  </si>
  <si>
    <t>1EA/box</t>
  </si>
  <si>
    <t>2029-03-31</t>
  </si>
  <si>
    <t>HemoChroma Plus calibrator</t>
    <phoneticPr fontId="45" type="noConversion"/>
  </si>
  <si>
    <t>VDCOVK21</t>
  </si>
  <si>
    <t>TMCOWB26</t>
  </si>
  <si>
    <t>Boditech Tumor marker Control</t>
  </si>
  <si>
    <t>TNCOVK17</t>
  </si>
  <si>
    <t>PCCOVK28</t>
  </si>
  <si>
    <t>NBCOWA19</t>
  </si>
  <si>
    <t>MACOWA72</t>
  </si>
  <si>
    <t>ILCOVK25</t>
  </si>
  <si>
    <t>HOCOWB59</t>
  </si>
  <si>
    <t>AACOWA42</t>
  </si>
  <si>
    <t>FRCOWB28</t>
  </si>
  <si>
    <t>DDCOWA50</t>
  </si>
  <si>
    <t>CRCOWA45</t>
  </si>
  <si>
    <t>pouch</t>
  </si>
  <si>
    <t>CTCOVL07</t>
  </si>
  <si>
    <t>CDCOWA41</t>
  </si>
  <si>
    <t>ANCOVK18</t>
  </si>
  <si>
    <t>Boditech Anti-CCP Plus Control</t>
  </si>
  <si>
    <t>HPCWC08.1</t>
    <phoneticPr fontId="37" type="noConversion"/>
  </si>
  <si>
    <t>TGCOWC27</t>
    <phoneticPr fontId="37" type="noConversion"/>
  </si>
  <si>
    <t>CPWBD12Z</t>
    <phoneticPr fontId="37" type="noConversion"/>
  </si>
  <si>
    <t>SYWAA01IR</t>
    <phoneticPr fontId="37" type="noConversion"/>
  </si>
  <si>
    <t>TEVLF11EX</t>
    <phoneticPr fontId="37" type="noConversion"/>
  </si>
  <si>
    <t>PSWAC09EX</t>
    <phoneticPr fontId="37" type="noConversion"/>
  </si>
  <si>
    <t>HBPTT03</t>
    <phoneticPr fontId="37" type="noConversion"/>
  </si>
  <si>
    <t>CCVLB03EX</t>
    <phoneticPr fontId="37" type="noConversion"/>
  </si>
  <si>
    <t>DT3VLY10</t>
    <phoneticPr fontId="3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</si>
</sst>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_(* #,##0.00_);_(* \(#,##0.00\);_(* &quot;-&quot;??_);_(@_)"/>
    <numFmt numFmtId="177" formatCode="_-* #,##0.0_-;\-* #,##0.0_-;_-* &quot;-&quot;_-;_-@_-"/>
    <numFmt numFmtId="178" formatCode="0.0_ "/>
    <numFmt numFmtId="179" formatCode="&quot;Gross weight&quot;\ #.0\ &quot;kg&quot;"/>
    <numFmt numFmtId="180" formatCode="&quot;Net weight&quot;\ #.0\ &quot;kg&quot;"/>
    <numFmt numFmtId="181" formatCode="&quot;Carton&quot;\ #\ &quot;Boxes&quot;"/>
    <numFmt numFmtId="182" formatCode="&quot;BT-&quot;##"/>
    <numFmt numFmtId="183" formatCode="#,##0.00_-;[Red]\(#,##0.00\)_-;&quot;-&quot;_-"/>
    <numFmt numFmtId="184" formatCode="#,##0_-;[Red]\(#,##0\)_-;&quot;-&quot;_-"/>
    <numFmt numFmtId="185" formatCode="@\ &quot;cartridge&quot;"/>
    <numFmt numFmtId="186" formatCode="@\ &quot;detection buffer&quot;"/>
  </numFmts>
  <fonts count="65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0.5"/>
      <color indexed="8"/>
      <name val="Arial"/>
      <family val="2"/>
    </font>
    <font>
      <sz val="11"/>
      <name val="Arial"/>
      <family val="2"/>
    </font>
    <font>
      <sz val="20.5"/>
      <color indexed="8"/>
      <name val="Arial"/>
      <family val="2"/>
    </font>
    <font>
      <sz val="11"/>
      <name val="맑은 고딕"/>
      <family val="3"/>
      <charset val="129"/>
      <scheme val="maj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u/>
      <sz val="11"/>
      <color indexed="12"/>
      <name val="돋움"/>
      <family val="3"/>
      <charset val="129"/>
    </font>
    <font>
      <u/>
      <sz val="11"/>
      <color indexed="12"/>
      <name val="Arial"/>
      <family val="2"/>
    </font>
    <font>
      <sz val="10"/>
      <color theme="1"/>
      <name val="Arial"/>
      <family val="2"/>
    </font>
    <font>
      <b/>
      <i/>
      <sz val="11"/>
      <name val="Arial"/>
      <family val="2"/>
    </font>
    <font>
      <b/>
      <i/>
      <u/>
      <sz val="10"/>
      <color theme="1"/>
      <name val="Arial"/>
      <family val="2"/>
    </font>
    <font>
      <b/>
      <i/>
      <sz val="10"/>
      <color theme="1"/>
      <name val="Arial"/>
      <family val="2"/>
    </font>
    <font>
      <sz val="11"/>
      <color theme="1"/>
      <name val="맑은 고딕"/>
      <family val="2"/>
      <charset val="129"/>
      <scheme val="minor"/>
    </font>
    <font>
      <b/>
      <i/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1"/>
      <color rgb="FFFF0000"/>
      <name val="맑은 고딕"/>
      <family val="3"/>
      <charset val="129"/>
      <scheme val="major"/>
    </font>
    <font>
      <sz val="11"/>
      <color indexed="8"/>
      <name val="Arial"/>
      <family val="2"/>
    </font>
    <font>
      <i/>
      <sz val="10"/>
      <color theme="1"/>
      <name val="Arial"/>
      <family val="2"/>
    </font>
    <font>
      <b/>
      <sz val="11"/>
      <color rgb="FFFF0000"/>
      <name val="맑은 고딕"/>
      <family val="3"/>
      <charset val="129"/>
      <scheme val="major"/>
    </font>
    <font>
      <b/>
      <i/>
      <sz val="12"/>
      <color theme="1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indexed="8"/>
      <name val="Arial"/>
      <family val="2"/>
    </font>
    <font>
      <sz val="11"/>
      <color rgb="FFC00000"/>
      <name val="돋움"/>
      <family val="3"/>
      <charset val="129"/>
    </font>
    <font>
      <b/>
      <i/>
      <u/>
      <sz val="10"/>
      <color indexed="8"/>
      <name val="Arial"/>
      <family val="2"/>
    </font>
    <font>
      <i/>
      <u/>
      <sz val="11"/>
      <name val="Arial"/>
      <family val="2"/>
    </font>
    <font>
      <i/>
      <sz val="11"/>
      <name val="Arial"/>
      <family val="2"/>
    </font>
    <font>
      <i/>
      <sz val="11"/>
      <color indexed="8"/>
      <name val="Arial"/>
      <family val="2"/>
    </font>
    <font>
      <b/>
      <i/>
      <sz val="11"/>
      <color theme="1"/>
      <name val="맑은 고딕"/>
      <family val="3"/>
      <charset val="129"/>
      <scheme val="minor"/>
    </font>
    <font>
      <b/>
      <u/>
      <sz val="11"/>
      <name val="Arial"/>
      <family val="2"/>
    </font>
    <font>
      <i/>
      <u/>
      <sz val="12"/>
      <color indexed="8"/>
      <name val="Arial"/>
      <family val="2"/>
    </font>
    <font>
      <sz val="8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ajor"/>
    </font>
    <font>
      <sz val="9"/>
      <color rgb="FF000000"/>
      <name val="맑은 고딕"/>
      <family val="2"/>
      <scheme val="minor"/>
    </font>
    <font>
      <sz val="9"/>
      <color indexed="8"/>
      <name val="맑은 고딕"/>
      <family val="2"/>
      <scheme val="minor"/>
    </font>
    <font>
      <sz val="9"/>
      <name val="맑은 고딕"/>
      <family val="2"/>
      <scheme val="minor"/>
    </font>
    <font>
      <b/>
      <i/>
      <sz val="10"/>
      <name val="Arial"/>
      <family val="2"/>
    </font>
    <font>
      <sz val="12"/>
      <color indexed="8"/>
      <name val="Arial"/>
      <family val="2"/>
    </font>
    <font>
      <b/>
      <i/>
      <sz val="12"/>
      <name val="Arial"/>
      <family val="2"/>
    </font>
    <font>
      <sz val="8"/>
      <name val="돋움"/>
      <family val="3"/>
      <charset val="129"/>
    </font>
    <font>
      <sz val="12"/>
      <name val="Arial"/>
      <family val="2"/>
    </font>
    <font>
      <i/>
      <u/>
      <sz val="12"/>
      <name val="Arial"/>
      <family val="2"/>
    </font>
    <font>
      <sz val="10.5"/>
      <name val="맑은 고딕"/>
      <family val="3"/>
      <charset val="129"/>
    </font>
    <font>
      <sz val="10.5"/>
      <name val="Arial"/>
      <family val="2"/>
    </font>
    <font>
      <sz val="12"/>
      <color theme="1"/>
      <name val="Calibri"/>
      <family val="2"/>
    </font>
    <font>
      <b/>
      <sz val="12"/>
      <name val="Calibri"/>
      <family val="2"/>
    </font>
    <font>
      <sz val="10"/>
      <color theme="1"/>
      <name val="맑은 고딕"/>
      <family val="2"/>
      <charset val="129"/>
      <scheme val="minor"/>
    </font>
    <font>
      <i/>
      <sz val="12"/>
      <color theme="1"/>
      <name val="Calibri"/>
      <family val="2"/>
    </font>
    <font>
      <b/>
      <i/>
      <sz val="11"/>
      <color theme="1"/>
      <name val="Arial"/>
      <family val="2"/>
    </font>
    <font>
      <b/>
      <i/>
      <sz val="12"/>
      <color theme="1"/>
      <name val="Calibri"/>
      <family val="2"/>
    </font>
    <font>
      <sz val="12"/>
      <color theme="1"/>
      <name val="Arial"/>
      <family val="2"/>
    </font>
    <font>
      <b/>
      <u/>
      <sz val="12"/>
      <color indexed="8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b/>
      <i/>
      <u/>
      <sz val="9.5"/>
      <color theme="1"/>
      <name val="Arial"/>
      <family val="2"/>
    </font>
    <font>
      <u/>
      <sz val="10"/>
      <color theme="10"/>
      <name val="맑은 고딕"/>
      <family val="2"/>
      <charset val="129"/>
      <scheme val="minor"/>
    </font>
    <font>
      <b/>
      <sz val="22"/>
      <name val="Arial"/>
      <family val="2"/>
    </font>
    <font>
      <b/>
      <sz val="20.5"/>
      <name val="Arial"/>
      <family val="2"/>
    </font>
    <font>
      <sz val="1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52" fillId="0" borderId="0">
      <alignment vertical="center"/>
    </xf>
    <xf numFmtId="0" fontId="61" fillId="0" borderId="0" applyNumberFormat="0" applyFill="0" applyBorder="0" applyAlignment="0" applyProtection="0">
      <alignment vertical="center"/>
    </xf>
  </cellStyleXfs>
  <cellXfs count="231">
    <xf numFmtId="0" fontId="0" fillId="0" borderId="0" xfId="0">
      <alignment vertical="center"/>
    </xf>
    <xf numFmtId="0" fontId="2" fillId="0" borderId="0" xfId="2" applyFont="1" applyAlignment="1">
      <alignment horizontal="right" vertical="center"/>
    </xf>
    <xf numFmtId="0" fontId="3" fillId="0" borderId="0" xfId="2" applyFont="1" applyAlignment="1">
      <alignment vertical="center"/>
    </xf>
    <xf numFmtId="0" fontId="6" fillId="0" borderId="0" xfId="2" applyFont="1" applyAlignment="1">
      <alignment horizontal="right" vertical="center"/>
    </xf>
    <xf numFmtId="0" fontId="7" fillId="0" borderId="0" xfId="2" applyFont="1" applyAlignment="1">
      <alignment horizontal="right" vertical="center"/>
    </xf>
    <xf numFmtId="0" fontId="10" fillId="0" borderId="0" xfId="3" applyFont="1" applyAlignment="1" applyProtection="1">
      <alignment horizontal="right" vertical="center"/>
    </xf>
    <xf numFmtId="0" fontId="11" fillId="0" borderId="0" xfId="2" applyFont="1" applyAlignment="1">
      <alignment horizontal="right" vertical="center"/>
    </xf>
    <xf numFmtId="0" fontId="7" fillId="0" borderId="0" xfId="2" applyFont="1" applyAlignment="1">
      <alignment horizontal="justify" vertical="center"/>
    </xf>
    <xf numFmtId="0" fontId="13" fillId="0" borderId="3" xfId="2" applyFont="1" applyBorder="1" applyAlignment="1">
      <alignment horizontal="right" vertical="center"/>
    </xf>
    <xf numFmtId="14" fontId="14" fillId="0" borderId="6" xfId="2" applyNumberFormat="1" applyFont="1" applyBorder="1" applyAlignment="1">
      <alignment horizontal="right" vertical="center"/>
    </xf>
    <xf numFmtId="0" fontId="19" fillId="0" borderId="0" xfId="2" applyFont="1" applyAlignment="1">
      <alignment horizontal="justify" vertical="center" wrapText="1"/>
    </xf>
    <xf numFmtId="0" fontId="5" fillId="0" borderId="0" xfId="2" applyFont="1" applyAlignment="1">
      <alignment horizontal="center"/>
    </xf>
    <xf numFmtId="41" fontId="5" fillId="0" borderId="0" xfId="1" applyFont="1" applyAlignment="1">
      <alignment horizontal="center"/>
    </xf>
    <xf numFmtId="0" fontId="1" fillId="0" borderId="0" xfId="2"/>
    <xf numFmtId="0" fontId="23" fillId="0" borderId="0" xfId="2" applyFont="1" applyAlignment="1">
      <alignment horizontal="justify" vertical="center"/>
    </xf>
    <xf numFmtId="0" fontId="21" fillId="0" borderId="0" xfId="2" applyFont="1" applyAlignment="1">
      <alignment horizontal="center" vertical="center" wrapText="1"/>
    </xf>
    <xf numFmtId="41" fontId="21" fillId="0" borderId="0" xfId="1" applyFont="1" applyAlignment="1">
      <alignment horizontal="center" vertical="center" wrapText="1"/>
    </xf>
    <xf numFmtId="0" fontId="19" fillId="0" borderId="0" xfId="2" applyFont="1" applyAlignment="1">
      <alignment horizontal="center" vertical="center" wrapText="1"/>
    </xf>
    <xf numFmtId="0" fontId="18" fillId="0" borderId="0" xfId="2" applyFont="1" applyAlignment="1">
      <alignment horizontal="center"/>
    </xf>
    <xf numFmtId="0" fontId="18" fillId="0" borderId="0" xfId="2" applyFont="1"/>
    <xf numFmtId="0" fontId="3" fillId="0" borderId="0" xfId="2" applyFont="1" applyAlignment="1">
      <alignment horizontal="center" vertical="center" wrapText="1"/>
    </xf>
    <xf numFmtId="0" fontId="3" fillId="0" borderId="0" xfId="2" applyFont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0" fontId="28" fillId="0" borderId="0" xfId="2" applyFont="1" applyAlignment="1">
      <alignment horizontal="justify"/>
    </xf>
    <xf numFmtId="0" fontId="3" fillId="0" borderId="0" xfId="2" applyFont="1"/>
    <xf numFmtId="41" fontId="18" fillId="0" borderId="0" xfId="1" applyFont="1" applyAlignment="1">
      <alignment horizontal="center"/>
    </xf>
    <xf numFmtId="0" fontId="29" fillId="0" borderId="0" xfId="2" applyFont="1"/>
    <xf numFmtId="0" fontId="30" fillId="0" borderId="0" xfId="2" applyFont="1" applyAlignment="1">
      <alignment horizontal="justify" vertical="center"/>
    </xf>
    <xf numFmtId="40" fontId="19" fillId="0" borderId="0" xfId="2" applyNumberFormat="1" applyFont="1" applyAlignment="1">
      <alignment horizontal="center" vertical="center" wrapText="1"/>
    </xf>
    <xf numFmtId="0" fontId="33" fillId="0" borderId="0" xfId="2" applyFont="1" applyAlignment="1">
      <alignment horizontal="justify" vertical="center"/>
    </xf>
    <xf numFmtId="0" fontId="35" fillId="0" borderId="0" xfId="2" applyFont="1" applyAlignment="1">
      <alignment vertical="center"/>
    </xf>
    <xf numFmtId="0" fontId="36" fillId="0" borderId="0" xfId="2" applyFont="1" applyAlignment="1">
      <alignment vertical="center"/>
    </xf>
    <xf numFmtId="0" fontId="0" fillId="0" borderId="0" xfId="0" applyAlignment="1">
      <alignment horizontal="center" vertical="center"/>
    </xf>
    <xf numFmtId="0" fontId="25" fillId="6" borderId="4" xfId="0" applyFont="1" applyFill="1" applyBorder="1" applyAlignment="1">
      <alignment vertical="center" wrapText="1"/>
    </xf>
    <xf numFmtId="0" fontId="27" fillId="6" borderId="5" xfId="2" applyFont="1" applyFill="1" applyBorder="1" applyAlignment="1">
      <alignment vertical="center"/>
    </xf>
    <xf numFmtId="176" fontId="24" fillId="6" borderId="6" xfId="2" applyNumberFormat="1" applyFont="1" applyFill="1" applyBorder="1" applyAlignment="1">
      <alignment horizontal="right" vertical="center" wrapText="1"/>
    </xf>
    <xf numFmtId="0" fontId="24" fillId="4" borderId="10" xfId="2" applyFont="1" applyFill="1" applyBorder="1" applyAlignment="1">
      <alignment horizontal="center" vertical="center" wrapText="1"/>
    </xf>
    <xf numFmtId="176" fontId="24" fillId="6" borderId="8" xfId="2" applyNumberFormat="1" applyFont="1" applyFill="1" applyBorder="1" applyAlignment="1">
      <alignment horizontal="right" vertical="center" wrapText="1"/>
    </xf>
    <xf numFmtId="0" fontId="38" fillId="0" borderId="0" xfId="2" applyFont="1" applyAlignment="1">
      <alignment horizontal="center" vertical="center" wrapText="1"/>
    </xf>
    <xf numFmtId="177" fontId="38" fillId="0" borderId="0" xfId="1" applyNumberFormat="1" applyFont="1" applyBorder="1" applyAlignment="1">
      <alignment horizontal="center" vertical="center" wrapText="1"/>
    </xf>
    <xf numFmtId="176" fontId="27" fillId="6" borderId="8" xfId="2" applyNumberFormat="1" applyFont="1" applyFill="1" applyBorder="1"/>
    <xf numFmtId="0" fontId="40" fillId="3" borderId="9" xfId="2" applyFont="1" applyFill="1" applyBorder="1" applyAlignment="1">
      <alignment horizontal="center" vertical="center" wrapText="1"/>
    </xf>
    <xf numFmtId="0" fontId="41" fillId="0" borderId="11" xfId="0" applyFont="1" applyBorder="1" applyAlignment="1">
      <alignment horizontal="center" vertical="center" wrapText="1"/>
    </xf>
    <xf numFmtId="2" fontId="39" fillId="0" borderId="11" xfId="0" applyNumberFormat="1" applyFont="1" applyBorder="1" applyAlignment="1">
      <alignment horizontal="center" vertical="center" shrinkToFit="1"/>
    </xf>
    <xf numFmtId="0" fontId="24" fillId="4" borderId="13" xfId="2" applyFont="1" applyFill="1" applyBorder="1" applyAlignment="1">
      <alignment horizontal="center" vertical="center" wrapText="1"/>
    </xf>
    <xf numFmtId="0" fontId="24" fillId="4" borderId="14" xfId="2" applyFont="1" applyFill="1" applyBorder="1" applyAlignment="1">
      <alignment horizontal="center" vertical="center" wrapText="1"/>
    </xf>
    <xf numFmtId="0" fontId="24" fillId="4" borderId="16" xfId="2" applyFont="1" applyFill="1" applyBorder="1" applyAlignment="1">
      <alignment horizontal="center" vertical="center" wrapText="1"/>
    </xf>
    <xf numFmtId="1" fontId="39" fillId="3" borderId="17" xfId="0" applyNumberFormat="1" applyFont="1" applyFill="1" applyBorder="1" applyAlignment="1">
      <alignment horizontal="center" vertical="center" shrinkToFit="1"/>
    </xf>
    <xf numFmtId="4" fontId="40" fillId="3" borderId="18" xfId="2" applyNumberFormat="1" applyFont="1" applyFill="1" applyBorder="1" applyAlignment="1">
      <alignment horizontal="center" vertical="center" wrapText="1"/>
    </xf>
    <xf numFmtId="1" fontId="39" fillId="3" borderId="19" xfId="0" applyNumberFormat="1" applyFont="1" applyFill="1" applyBorder="1" applyAlignment="1">
      <alignment horizontal="center" vertical="center" shrinkToFit="1"/>
    </xf>
    <xf numFmtId="0" fontId="41" fillId="0" borderId="20" xfId="0" applyFont="1" applyBorder="1" applyAlignment="1">
      <alignment horizontal="center" vertical="center" wrapText="1"/>
    </xf>
    <xf numFmtId="0" fontId="40" fillId="3" borderId="21" xfId="2" applyFont="1" applyFill="1" applyBorder="1" applyAlignment="1">
      <alignment horizontal="center" vertical="center" wrapText="1"/>
    </xf>
    <xf numFmtId="2" fontId="39" fillId="0" borderId="20" xfId="0" applyNumberFormat="1" applyFont="1" applyBorder="1" applyAlignment="1">
      <alignment horizontal="center" vertical="center" shrinkToFit="1"/>
    </xf>
    <xf numFmtId="4" fontId="40" fillId="3" borderId="22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43" fillId="0" borderId="0" xfId="2" applyFont="1" applyAlignment="1">
      <alignment vertical="center"/>
    </xf>
    <xf numFmtId="0" fontId="43" fillId="0" borderId="0" xfId="2" applyFont="1" applyAlignment="1">
      <alignment horizontal="center" vertical="center"/>
    </xf>
    <xf numFmtId="0" fontId="43" fillId="0" borderId="0" xfId="2" applyFont="1" applyAlignment="1">
      <alignment horizontal="right" vertical="center"/>
    </xf>
    <xf numFmtId="0" fontId="43" fillId="0" borderId="0" xfId="2" applyFont="1" applyAlignment="1">
      <alignment horizontal="left" vertical="center"/>
    </xf>
    <xf numFmtId="0" fontId="44" fillId="0" borderId="0" xfId="2" applyFont="1" applyAlignment="1">
      <alignment horizontal="left" vertical="center"/>
    </xf>
    <xf numFmtId="0" fontId="16" fillId="0" borderId="0" xfId="2" applyFont="1" applyAlignment="1">
      <alignment horizontal="left" vertical="center"/>
    </xf>
    <xf numFmtId="0" fontId="36" fillId="0" borderId="0" xfId="2" applyFont="1" applyAlignment="1">
      <alignment horizontal="left" vertical="center"/>
    </xf>
    <xf numFmtId="0" fontId="46" fillId="0" borderId="0" xfId="2" applyFont="1" applyAlignment="1">
      <alignment vertical="center" wrapText="1"/>
    </xf>
    <xf numFmtId="0" fontId="46" fillId="0" borderId="0" xfId="2" applyFont="1" applyAlignment="1">
      <alignment horizontal="center" vertical="center" wrapText="1"/>
    </xf>
    <xf numFmtId="0" fontId="46" fillId="0" borderId="0" xfId="2" applyFont="1" applyAlignment="1">
      <alignment horizontal="right" vertical="center" wrapText="1"/>
    </xf>
    <xf numFmtId="0" fontId="46" fillId="0" borderId="0" xfId="2" applyFont="1" applyAlignment="1">
      <alignment horizontal="left" vertical="center" wrapText="1"/>
    </xf>
    <xf numFmtId="0" fontId="47" fillId="0" borderId="0" xfId="2" applyFont="1" applyAlignment="1">
      <alignment horizontal="center" vertical="center" wrapText="1"/>
    </xf>
    <xf numFmtId="0" fontId="44" fillId="0" borderId="0" xfId="2" applyFont="1" applyAlignment="1">
      <alignment horizontal="right" vertical="center" wrapText="1"/>
    </xf>
    <xf numFmtId="0" fontId="44" fillId="0" borderId="0" xfId="2" applyFont="1" applyAlignment="1">
      <alignment horizontal="center" vertical="center" wrapText="1"/>
    </xf>
    <xf numFmtId="0" fontId="3" fillId="0" borderId="0" xfId="2" applyFont="1" applyAlignment="1">
      <alignment vertical="center" wrapText="1"/>
    </xf>
    <xf numFmtId="0" fontId="12" fillId="0" borderId="0" xfId="2" applyFont="1" applyAlignment="1">
      <alignment horizontal="left" vertical="center" wrapText="1"/>
    </xf>
    <xf numFmtId="178" fontId="0" fillId="0" borderId="0" xfId="0" applyNumberFormat="1">
      <alignment vertical="center"/>
    </xf>
    <xf numFmtId="0" fontId="49" fillId="0" borderId="0" xfId="2" applyFont="1" applyAlignment="1">
      <alignment horizontal="center" vertical="center" wrapText="1"/>
    </xf>
    <xf numFmtId="180" fontId="44" fillId="2" borderId="8" xfId="2" applyNumberFormat="1" applyFont="1" applyFill="1" applyBorder="1" applyAlignment="1">
      <alignment horizontal="right" vertical="center" wrapText="1"/>
    </xf>
    <xf numFmtId="181" fontId="44" fillId="2" borderId="0" xfId="2" applyNumberFormat="1" applyFont="1" applyFill="1" applyAlignment="1">
      <alignment horizontal="right" vertical="center" wrapText="1"/>
    </xf>
    <xf numFmtId="181" fontId="44" fillId="2" borderId="7" xfId="2" applyNumberFormat="1" applyFont="1" applyFill="1" applyBorder="1" applyAlignment="1">
      <alignment horizontal="right" vertical="center" wrapText="1"/>
    </xf>
    <xf numFmtId="182" fontId="50" fillId="0" borderId="17" xfId="0" applyNumberFormat="1" applyFont="1" applyBorder="1" applyAlignment="1">
      <alignment horizontal="center" vertical="center"/>
    </xf>
    <xf numFmtId="178" fontId="50" fillId="0" borderId="9" xfId="0" applyNumberFormat="1" applyFont="1" applyBorder="1" applyAlignment="1">
      <alignment horizontal="center" vertical="center"/>
    </xf>
    <xf numFmtId="0" fontId="51" fillId="7" borderId="14" xfId="2" applyFont="1" applyFill="1" applyBorder="1" applyAlignment="1">
      <alignment horizontal="center" vertical="center" wrapText="1"/>
    </xf>
    <xf numFmtId="0" fontId="51" fillId="7" borderId="13" xfId="2" applyFont="1" applyFill="1" applyBorder="1" applyAlignment="1">
      <alignment horizontal="center" vertical="center" wrapText="1"/>
    </xf>
    <xf numFmtId="0" fontId="51" fillId="7" borderId="12" xfId="2" applyFont="1" applyFill="1" applyBorder="1" applyAlignment="1">
      <alignment horizontal="center" vertical="center" wrapText="1"/>
    </xf>
    <xf numFmtId="0" fontId="3" fillId="0" borderId="2" xfId="2" applyFont="1" applyBorder="1"/>
    <xf numFmtId="0" fontId="3" fillId="0" borderId="2" xfId="2" applyFont="1" applyBorder="1" applyAlignment="1">
      <alignment horizontal="center" vertical="center"/>
    </xf>
    <xf numFmtId="0" fontId="3" fillId="0" borderId="2" xfId="2" applyFont="1" applyBorder="1" applyAlignment="1">
      <alignment horizontal="right" vertical="center"/>
    </xf>
    <xf numFmtId="0" fontId="3" fillId="0" borderId="2" xfId="2" applyFont="1" applyBorder="1" applyAlignment="1">
      <alignment vertical="center"/>
    </xf>
    <xf numFmtId="0" fontId="3" fillId="0" borderId="2" xfId="2" applyFont="1" applyBorder="1" applyAlignment="1">
      <alignment horizontal="left" vertical="center"/>
    </xf>
    <xf numFmtId="0" fontId="23" fillId="0" borderId="2" xfId="2" applyFont="1" applyBorder="1" applyAlignment="1">
      <alignment horizontal="center" vertical="center"/>
    </xf>
    <xf numFmtId="183" fontId="26" fillId="4" borderId="8" xfId="4" applyNumberFormat="1" applyFont="1" applyFill="1" applyBorder="1">
      <alignment vertical="center"/>
    </xf>
    <xf numFmtId="183" fontId="26" fillId="4" borderId="0" xfId="4" applyNumberFormat="1" applyFont="1" applyFill="1" applyAlignment="1">
      <alignment horizontal="center" vertical="center"/>
    </xf>
    <xf numFmtId="184" fontId="26" fillId="4" borderId="0" xfId="4" applyNumberFormat="1" applyFont="1" applyFill="1" applyAlignment="1">
      <alignment horizontal="right" vertical="center"/>
    </xf>
    <xf numFmtId="183" fontId="54" fillId="4" borderId="0" xfId="4" applyNumberFormat="1" applyFont="1" applyFill="1">
      <alignment vertical="center"/>
    </xf>
    <xf numFmtId="183" fontId="56" fillId="4" borderId="3" xfId="4" applyNumberFormat="1" applyFont="1" applyFill="1" applyBorder="1">
      <alignment vertical="center"/>
    </xf>
    <xf numFmtId="183" fontId="56" fillId="4" borderId="2" xfId="4" applyNumberFormat="1" applyFont="1" applyFill="1" applyBorder="1" applyAlignment="1">
      <alignment horizontal="center" vertical="center"/>
    </xf>
    <xf numFmtId="184" fontId="56" fillId="4" borderId="2" xfId="4" applyNumberFormat="1" applyFont="1" applyFill="1" applyBorder="1" applyAlignment="1">
      <alignment horizontal="right" vertical="center"/>
    </xf>
    <xf numFmtId="183" fontId="22" fillId="4" borderId="2" xfId="4" applyNumberFormat="1" applyFont="1" applyFill="1" applyBorder="1">
      <alignment vertical="center"/>
    </xf>
    <xf numFmtId="183" fontId="11" fillId="0" borderId="0" xfId="4" applyNumberFormat="1" applyFont="1">
      <alignment vertical="center"/>
    </xf>
    <xf numFmtId="183" fontId="11" fillId="0" borderId="0" xfId="4" applyNumberFormat="1" applyFont="1" applyAlignment="1">
      <alignment horizontal="center" vertical="center"/>
    </xf>
    <xf numFmtId="184" fontId="11" fillId="0" borderId="0" xfId="4" applyNumberFormat="1" applyFont="1" applyAlignment="1">
      <alignment horizontal="right" vertical="center"/>
    </xf>
    <xf numFmtId="49" fontId="11" fillId="0" borderId="0" xfId="4" applyNumberFormat="1" applyFont="1" applyAlignment="1">
      <alignment horizontal="left" vertical="center"/>
    </xf>
    <xf numFmtId="0" fontId="11" fillId="0" borderId="0" xfId="4" applyFont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58" fillId="0" borderId="0" xfId="0" applyFont="1" applyAlignment="1">
      <alignment vertical="top" wrapText="1"/>
    </xf>
    <xf numFmtId="0" fontId="58" fillId="0" borderId="0" xfId="0" applyFont="1" applyAlignment="1">
      <alignment horizontal="center" vertical="center" wrapText="1"/>
    </xf>
    <xf numFmtId="0" fontId="50" fillId="0" borderId="0" xfId="0" applyFont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83" fontId="22" fillId="4" borderId="5" xfId="4" applyNumberFormat="1" applyFont="1" applyFill="1" applyBorder="1" applyAlignment="1">
      <alignment horizontal="center" vertical="center"/>
    </xf>
    <xf numFmtId="184" fontId="52" fillId="4" borderId="4" xfId="4" applyNumberFormat="1" applyFill="1" applyBorder="1" applyAlignment="1">
      <alignment horizontal="right" vertical="center"/>
    </xf>
    <xf numFmtId="0" fontId="3" fillId="0" borderId="0" xfId="2" applyFont="1" applyAlignment="1">
      <alignment horizontal="center" vertical="center"/>
    </xf>
    <xf numFmtId="0" fontId="3" fillId="0" borderId="0" xfId="2" applyFont="1" applyAlignment="1">
      <alignment horizontal="left" vertical="center"/>
    </xf>
    <xf numFmtId="0" fontId="60" fillId="0" borderId="3" xfId="2" applyFont="1" applyBorder="1" applyAlignment="1">
      <alignment horizontal="right" vertical="center"/>
    </xf>
    <xf numFmtId="183" fontId="22" fillId="4" borderId="2" xfId="4" applyNumberFormat="1" applyFont="1" applyFill="1" applyBorder="1" applyAlignment="1">
      <alignment horizontal="center" vertical="center"/>
    </xf>
    <xf numFmtId="184" fontId="52" fillId="4" borderId="1" xfId="4" applyNumberFormat="1" applyFill="1" applyBorder="1" applyAlignment="1">
      <alignment horizontal="right" vertical="center"/>
    </xf>
    <xf numFmtId="183" fontId="52" fillId="0" borderId="0" xfId="4" applyNumberFormat="1" applyAlignment="1">
      <alignment horizontal="center" vertical="center"/>
    </xf>
    <xf numFmtId="184" fontId="52" fillId="0" borderId="0" xfId="4" applyNumberFormat="1" applyAlignment="1">
      <alignment horizontal="right" vertical="center"/>
    </xf>
    <xf numFmtId="0" fontId="10" fillId="0" borderId="0" xfId="5" applyFont="1" applyAlignment="1" applyProtection="1">
      <alignment horizontal="center" vertical="center"/>
    </xf>
    <xf numFmtId="183" fontId="15" fillId="0" borderId="0" xfId="4" applyNumberFormat="1" applyFont="1" applyAlignment="1">
      <alignment horizontal="center" vertical="center"/>
    </xf>
    <xf numFmtId="183" fontId="26" fillId="0" borderId="0" xfId="4" applyNumberFormat="1" applyFont="1" applyAlignment="1">
      <alignment horizontal="right" vertical="center"/>
    </xf>
    <xf numFmtId="0" fontId="23" fillId="0" borderId="0" xfId="2" applyFont="1" applyAlignment="1">
      <alignment horizontal="center" vertical="center" wrapText="1"/>
    </xf>
    <xf numFmtId="183" fontId="25" fillId="0" borderId="0" xfId="4" applyNumberFormat="1" applyFont="1" applyAlignment="1">
      <alignment horizontal="right" vertical="center"/>
    </xf>
    <xf numFmtId="0" fontId="8" fillId="0" borderId="0" xfId="2" applyFont="1" applyAlignment="1">
      <alignment horizontal="center" vertical="center" wrapText="1"/>
    </xf>
    <xf numFmtId="0" fontId="63" fillId="0" borderId="0" xfId="2" applyFont="1" applyAlignment="1">
      <alignment horizontal="center" vertical="center" wrapText="1"/>
    </xf>
    <xf numFmtId="0" fontId="50" fillId="0" borderId="9" xfId="0" applyFont="1" applyBorder="1" applyAlignment="1">
      <alignment horizontal="center" vertical="center"/>
    </xf>
    <xf numFmtId="14" fontId="50" fillId="0" borderId="9" xfId="0" applyNumberFormat="1" applyFont="1" applyBorder="1" applyAlignment="1">
      <alignment horizontal="center" vertical="center"/>
    </xf>
    <xf numFmtId="3" fontId="50" fillId="0" borderId="9" xfId="0" applyNumberFormat="1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3" fontId="50" fillId="0" borderId="21" xfId="0" applyNumberFormat="1" applyFont="1" applyBorder="1" applyAlignment="1">
      <alignment horizontal="center" vertical="center"/>
    </xf>
    <xf numFmtId="185" fontId="50" fillId="0" borderId="9" xfId="0" applyNumberFormat="1" applyFont="1" applyBorder="1" applyAlignment="1">
      <alignment horizontal="center" vertical="center"/>
    </xf>
    <xf numFmtId="186" fontId="50" fillId="0" borderId="9" xfId="0" applyNumberFormat="1" applyFont="1" applyBorder="1" applyAlignment="1">
      <alignment horizontal="center" vertical="center"/>
    </xf>
    <xf numFmtId="0" fontId="64" fillId="0" borderId="21" xfId="0" applyFont="1" applyBorder="1" applyAlignment="1">
      <alignment horizontal="center" vertical="center"/>
    </xf>
    <xf numFmtId="0" fontId="50" fillId="0" borderId="21" xfId="0" applyFont="1" applyBorder="1" applyAlignment="1">
      <alignment horizontal="center" vertical="center"/>
    </xf>
    <xf numFmtId="14" fontId="50" fillId="0" borderId="21" xfId="0" applyNumberFormat="1" applyFont="1" applyBorder="1" applyAlignment="1">
      <alignment horizontal="center" vertical="center"/>
    </xf>
    <xf numFmtId="0" fontId="50" fillId="5" borderId="9" xfId="0" applyFont="1" applyFill="1" applyBorder="1" applyAlignment="1">
      <alignment horizontal="center" vertical="center"/>
    </xf>
    <xf numFmtId="14" fontId="50" fillId="5" borderId="9" xfId="0" applyNumberFormat="1" applyFont="1" applyFill="1" applyBorder="1" applyAlignment="1">
      <alignment horizontal="center" vertical="center"/>
    </xf>
    <xf numFmtId="3" fontId="50" fillId="5" borderId="9" xfId="0" applyNumberFormat="1" applyFont="1" applyFill="1" applyBorder="1" applyAlignment="1">
      <alignment horizontal="center" vertical="center"/>
    </xf>
    <xf numFmtId="0" fontId="44" fillId="0" borderId="0" xfId="2" applyFont="1" applyAlignment="1">
      <alignment horizontal="justify" vertical="center" wrapText="1"/>
    </xf>
    <xf numFmtId="0" fontId="48" fillId="0" borderId="0" xfId="2" applyFont="1" applyAlignment="1">
      <alignment horizontal="center" vertical="center"/>
    </xf>
    <xf numFmtId="0" fontId="48" fillId="0" borderId="8" xfId="2" applyFont="1" applyBorder="1" applyAlignment="1">
      <alignment horizontal="center" vertical="center"/>
    </xf>
    <xf numFmtId="181" fontId="44" fillId="2" borderId="7" xfId="2" applyNumberFormat="1" applyFont="1" applyFill="1" applyBorder="1" applyAlignment="1">
      <alignment horizontal="right" vertical="center" wrapText="1"/>
    </xf>
    <xf numFmtId="181" fontId="44" fillId="2" borderId="0" xfId="2" applyNumberFormat="1" applyFont="1" applyFill="1" applyAlignment="1">
      <alignment horizontal="right" vertical="center" wrapText="1"/>
    </xf>
    <xf numFmtId="181" fontId="44" fillId="2" borderId="8" xfId="2" applyNumberFormat="1" applyFont="1" applyFill="1" applyBorder="1" applyAlignment="1">
      <alignment horizontal="right" vertical="center" wrapText="1"/>
    </xf>
    <xf numFmtId="179" fontId="44" fillId="2" borderId="4" xfId="2" applyNumberFormat="1" applyFont="1" applyFill="1" applyBorder="1" applyAlignment="1">
      <alignment horizontal="right" vertical="center" wrapText="1"/>
    </xf>
    <xf numFmtId="179" fontId="44" fillId="2" borderId="5" xfId="2" applyNumberFormat="1" applyFont="1" applyFill="1" applyBorder="1" applyAlignment="1">
      <alignment horizontal="right" vertical="center" wrapText="1"/>
    </xf>
    <xf numFmtId="179" fontId="44" fillId="2" borderId="6" xfId="2" applyNumberFormat="1" applyFont="1" applyFill="1" applyBorder="1" applyAlignment="1">
      <alignment horizontal="right" vertical="center" wrapText="1"/>
    </xf>
    <xf numFmtId="0" fontId="53" fillId="0" borderId="4" xfId="4" applyFont="1" applyBorder="1" applyAlignment="1">
      <alignment horizontal="left" vertical="center"/>
    </xf>
    <xf numFmtId="0" fontId="53" fillId="0" borderId="5" xfId="4" applyFont="1" applyBorder="1" applyAlignment="1">
      <alignment horizontal="left" vertical="center"/>
    </xf>
    <xf numFmtId="0" fontId="50" fillId="0" borderId="18" xfId="0" applyFont="1" applyBorder="1" applyAlignment="1">
      <alignment horizontal="center" vertical="center"/>
    </xf>
    <xf numFmtId="0" fontId="50" fillId="0" borderId="22" xfId="0" applyFont="1" applyBorder="1" applyAlignment="1">
      <alignment horizontal="center" vertical="center"/>
    </xf>
    <xf numFmtId="182" fontId="50" fillId="0" borderId="17" xfId="0" applyNumberFormat="1" applyFont="1" applyBorder="1" applyAlignment="1">
      <alignment horizontal="center" vertical="center"/>
    </xf>
    <xf numFmtId="178" fontId="50" fillId="0" borderId="9" xfId="0" applyNumberFormat="1" applyFont="1" applyBorder="1" applyAlignment="1">
      <alignment horizontal="center" vertical="center"/>
    </xf>
    <xf numFmtId="0" fontId="62" fillId="0" borderId="0" xfId="2" applyFont="1" applyAlignment="1">
      <alignment horizontal="right" vertical="center" wrapText="1"/>
    </xf>
    <xf numFmtId="0" fontId="22" fillId="7" borderId="1" xfId="4" applyFont="1" applyFill="1" applyBorder="1" applyAlignment="1">
      <alignment horizontal="left" vertical="center"/>
    </xf>
    <xf numFmtId="0" fontId="22" fillId="7" borderId="2" xfId="4" applyFont="1" applyFill="1" applyBorder="1" applyAlignment="1">
      <alignment horizontal="left" vertical="center"/>
    </xf>
    <xf numFmtId="0" fontId="22" fillId="4" borderId="2" xfId="4" applyFont="1" applyFill="1" applyBorder="1" applyAlignment="1">
      <alignment horizontal="left" vertical="center"/>
    </xf>
    <xf numFmtId="0" fontId="22" fillId="4" borderId="3" xfId="4" applyFont="1" applyFill="1" applyBorder="1" applyAlignment="1">
      <alignment horizontal="left" vertical="center"/>
    </xf>
    <xf numFmtId="0" fontId="57" fillId="0" borderId="7" xfId="0" applyFont="1" applyBorder="1" applyAlignment="1">
      <alignment horizontal="left" vertical="center" wrapText="1"/>
    </xf>
    <xf numFmtId="0" fontId="57" fillId="0" borderId="0" xfId="0" applyFont="1" applyAlignment="1">
      <alignment horizontal="left" vertical="center" wrapText="1"/>
    </xf>
    <xf numFmtId="0" fontId="57" fillId="0" borderId="8" xfId="0" applyFont="1" applyBorder="1" applyAlignment="1">
      <alignment horizontal="left" vertical="center" wrapText="1"/>
    </xf>
    <xf numFmtId="0" fontId="58" fillId="0" borderId="7" xfId="0" applyFont="1" applyBorder="1" applyAlignment="1">
      <alignment horizontal="left" vertical="center" wrapText="1"/>
    </xf>
    <xf numFmtId="0" fontId="58" fillId="0" borderId="0" xfId="0" applyFont="1" applyAlignment="1">
      <alignment horizontal="left" vertical="center" wrapText="1"/>
    </xf>
    <xf numFmtId="0" fontId="58" fillId="0" borderId="8" xfId="0" applyFont="1" applyBorder="1" applyAlignment="1">
      <alignment horizontal="left" vertical="center" wrapText="1"/>
    </xf>
    <xf numFmtId="0" fontId="59" fillId="0" borderId="7" xfId="0" applyFont="1" applyBorder="1" applyAlignment="1">
      <alignment horizontal="left" vertical="center" wrapText="1"/>
    </xf>
    <xf numFmtId="0" fontId="59" fillId="0" borderId="0" xfId="0" applyFont="1" applyAlignment="1">
      <alignment horizontal="left" vertical="center" wrapText="1"/>
    </xf>
    <xf numFmtId="0" fontId="58" fillId="0" borderId="0" xfId="0" applyFont="1" applyAlignment="1">
      <alignment horizontal="center" vertical="top" wrapText="1"/>
    </xf>
    <xf numFmtId="0" fontId="58" fillId="0" borderId="8" xfId="0" applyFont="1" applyBorder="1" applyAlignment="1">
      <alignment horizontal="center" vertical="top" wrapText="1"/>
    </xf>
    <xf numFmtId="0" fontId="22" fillId="4" borderId="1" xfId="4" applyFont="1" applyFill="1" applyBorder="1" applyAlignment="1">
      <alignment horizontal="left" vertical="center"/>
    </xf>
    <xf numFmtId="0" fontId="58" fillId="0" borderId="4" xfId="0" applyFont="1" applyBorder="1" applyAlignment="1">
      <alignment horizontal="left" vertical="center" wrapText="1"/>
    </xf>
    <xf numFmtId="0" fontId="58" fillId="0" borderId="5" xfId="0" applyFont="1" applyBorder="1" applyAlignment="1">
      <alignment horizontal="left" vertical="center" wrapText="1"/>
    </xf>
    <xf numFmtId="0" fontId="57" fillId="0" borderId="5" xfId="0" applyFont="1" applyBorder="1" applyAlignment="1">
      <alignment horizontal="left" vertical="center" wrapText="1"/>
    </xf>
    <xf numFmtId="0" fontId="57" fillId="0" borderId="6" xfId="0" applyFont="1" applyBorder="1" applyAlignment="1">
      <alignment horizontal="left" vertical="center" wrapText="1"/>
    </xf>
    <xf numFmtId="182" fontId="50" fillId="0" borderId="19" xfId="0" applyNumberFormat="1" applyFont="1" applyBorder="1" applyAlignment="1">
      <alignment horizontal="center" vertical="center"/>
    </xf>
    <xf numFmtId="178" fontId="50" fillId="0" borderId="21" xfId="0" applyNumberFormat="1" applyFont="1" applyBorder="1" applyAlignment="1">
      <alignment horizontal="center" vertical="center"/>
    </xf>
    <xf numFmtId="0" fontId="54" fillId="4" borderId="7" xfId="4" applyFont="1" applyFill="1" applyBorder="1" applyAlignment="1">
      <alignment horizontal="left" vertical="center"/>
    </xf>
    <xf numFmtId="0" fontId="54" fillId="4" borderId="0" xfId="4" applyFont="1" applyFill="1" applyAlignment="1">
      <alignment horizontal="left" vertical="center"/>
    </xf>
    <xf numFmtId="0" fontId="53" fillId="0" borderId="7" xfId="4" applyFont="1" applyBorder="1" applyAlignment="1">
      <alignment horizontal="left" vertical="center"/>
    </xf>
    <xf numFmtId="0" fontId="53" fillId="0" borderId="0" xfId="4" applyFont="1" applyAlignment="1">
      <alignment horizontal="left" vertical="center"/>
    </xf>
    <xf numFmtId="183" fontId="50" fillId="0" borderId="5" xfId="4" applyNumberFormat="1" applyFont="1" applyBorder="1" applyAlignment="1">
      <alignment horizontal="left" vertical="center"/>
    </xf>
    <xf numFmtId="183" fontId="50" fillId="0" borderId="6" xfId="4" applyNumberFormat="1" applyFont="1" applyBorder="1" applyAlignment="1">
      <alignment horizontal="left" vertical="center"/>
    </xf>
    <xf numFmtId="14" fontId="55" fillId="0" borderId="0" xfId="4" applyNumberFormat="1" applyFont="1" applyAlignment="1">
      <alignment horizontal="left" vertical="center"/>
    </xf>
    <xf numFmtId="14" fontId="55" fillId="0" borderId="8" xfId="4" applyNumberFormat="1" applyFont="1" applyBorder="1" applyAlignment="1">
      <alignment horizontal="left" vertical="center"/>
    </xf>
    <xf numFmtId="183" fontId="50" fillId="0" borderId="0" xfId="4" applyNumberFormat="1" applyFont="1" applyAlignment="1">
      <alignment horizontal="left" vertical="center"/>
    </xf>
    <xf numFmtId="183" fontId="50" fillId="0" borderId="8" xfId="4" applyNumberFormat="1" applyFont="1" applyBorder="1" applyAlignment="1">
      <alignment horizontal="left" vertical="center"/>
    </xf>
    <xf numFmtId="0" fontId="16" fillId="2" borderId="1" xfId="2" applyFont="1" applyFill="1" applyBorder="1" applyAlignment="1">
      <alignment horizontal="justify" vertical="center" wrapText="1"/>
    </xf>
    <xf numFmtId="0" fontId="16" fillId="2" borderId="2" xfId="2" applyFont="1" applyFill="1" applyBorder="1" applyAlignment="1">
      <alignment horizontal="justify" vertical="center" wrapText="1"/>
    </xf>
    <xf numFmtId="0" fontId="16" fillId="2" borderId="3" xfId="2" applyFont="1" applyFill="1" applyBorder="1" applyAlignment="1">
      <alignment horizontal="justify" vertical="center" wrapText="1"/>
    </xf>
    <xf numFmtId="0" fontId="8" fillId="0" borderId="0" xfId="2" applyFont="1" applyAlignment="1">
      <alignment horizontal="right" vertical="center" wrapText="1"/>
    </xf>
    <xf numFmtId="0" fontId="12" fillId="2" borderId="1" xfId="2" applyFont="1" applyFill="1" applyBorder="1" applyAlignment="1">
      <alignment horizontal="right" vertical="center"/>
    </xf>
    <xf numFmtId="0" fontId="12" fillId="2" borderId="2" xfId="2" applyFont="1" applyFill="1" applyBorder="1" applyAlignment="1">
      <alignment horizontal="right" vertical="center"/>
    </xf>
    <xf numFmtId="0" fontId="12" fillId="2" borderId="4" xfId="2" applyFont="1" applyFill="1" applyBorder="1" applyAlignment="1">
      <alignment horizontal="right" vertical="center"/>
    </xf>
    <xf numFmtId="0" fontId="12" fillId="2" borderId="5" xfId="2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left" wrapText="1"/>
    </xf>
    <xf numFmtId="0" fontId="16" fillId="2" borderId="2" xfId="0" applyFont="1" applyFill="1" applyBorder="1" applyAlignment="1">
      <alignment horizontal="left" wrapText="1"/>
    </xf>
    <xf numFmtId="0" fontId="16" fillId="2" borderId="3" xfId="0" applyFont="1" applyFill="1" applyBorder="1" applyAlignment="1">
      <alignment horizontal="left" wrapText="1"/>
    </xf>
    <xf numFmtId="0" fontId="17" fillId="0" borderId="7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20" fillId="0" borderId="7" xfId="2" applyFont="1" applyBorder="1" applyAlignment="1">
      <alignment horizontal="justify" vertical="center" wrapText="1"/>
    </xf>
    <xf numFmtId="0" fontId="20" fillId="0" borderId="0" xfId="2" applyFont="1" applyAlignment="1">
      <alignment horizontal="justify" vertical="center" wrapText="1"/>
    </xf>
    <xf numFmtId="14" fontId="42" fillId="3" borderId="0" xfId="2" applyNumberFormat="1" applyFont="1" applyFill="1" applyAlignment="1">
      <alignment horizontal="justify" vertical="center" wrapText="1"/>
    </xf>
    <xf numFmtId="14" fontId="42" fillId="3" borderId="8" xfId="2" applyNumberFormat="1" applyFont="1" applyFill="1" applyBorder="1" applyAlignment="1">
      <alignment horizontal="justify" vertical="center" wrapText="1"/>
    </xf>
    <xf numFmtId="0" fontId="22" fillId="2" borderId="7" xfId="2" applyFont="1" applyFill="1" applyBorder="1" applyAlignment="1">
      <alignment horizontal="justify" vertical="center" wrapText="1"/>
    </xf>
    <xf numFmtId="0" fontId="22" fillId="2" borderId="0" xfId="2" applyFont="1" applyFill="1" applyAlignment="1">
      <alignment horizontal="justify" vertical="center" wrapText="1"/>
    </xf>
    <xf numFmtId="0" fontId="22" fillId="2" borderId="8" xfId="2" applyFont="1" applyFill="1" applyBorder="1" applyAlignment="1">
      <alignment horizontal="justify" vertical="center" wrapText="1"/>
    </xf>
    <xf numFmtId="0" fontId="20" fillId="0" borderId="8" xfId="2" applyFont="1" applyBorder="1" applyAlignment="1">
      <alignment horizontal="justify" vertical="center" wrapText="1"/>
    </xf>
    <xf numFmtId="0" fontId="33" fillId="0" borderId="0" xfId="2" applyFont="1" applyAlignment="1">
      <alignment horizontal="justify" vertical="center"/>
    </xf>
    <xf numFmtId="0" fontId="34" fillId="0" borderId="0" xfId="0" applyFont="1" applyAlignment="1">
      <alignment horizontal="center" vertical="center" wrapText="1"/>
    </xf>
    <xf numFmtId="0" fontId="20" fillId="0" borderId="4" xfId="2" applyFont="1" applyBorder="1" applyAlignment="1">
      <alignment horizontal="left" vertical="center" wrapText="1"/>
    </xf>
    <xf numFmtId="0" fontId="20" fillId="0" borderId="5" xfId="2" applyFont="1" applyBorder="1" applyAlignment="1">
      <alignment horizontal="left" vertical="center" wrapText="1"/>
    </xf>
    <xf numFmtId="0" fontId="20" fillId="0" borderId="5" xfId="2" applyFont="1" applyBorder="1" applyAlignment="1">
      <alignment horizontal="justify" vertical="center" wrapText="1"/>
    </xf>
    <xf numFmtId="0" fontId="20" fillId="0" borderId="6" xfId="2" applyFont="1" applyBorder="1" applyAlignment="1">
      <alignment horizontal="justify" vertical="center" wrapText="1"/>
    </xf>
    <xf numFmtId="0" fontId="24" fillId="4" borderId="12" xfId="2" applyFont="1" applyFill="1" applyBorder="1" applyAlignment="1">
      <alignment horizontal="center" vertical="center" wrapText="1"/>
    </xf>
    <xf numFmtId="0" fontId="24" fillId="4" borderId="15" xfId="2" applyFont="1" applyFill="1" applyBorder="1" applyAlignment="1">
      <alignment horizontal="center" vertical="center" wrapText="1"/>
    </xf>
    <xf numFmtId="0" fontId="24" fillId="4" borderId="13" xfId="2" applyFont="1" applyFill="1" applyBorder="1" applyAlignment="1">
      <alignment horizontal="center" vertical="center" wrapText="1"/>
    </xf>
    <xf numFmtId="0" fontId="24" fillId="4" borderId="10" xfId="2" applyFont="1" applyFill="1" applyBorder="1" applyAlignment="1">
      <alignment horizontal="center" vertical="center" wrapText="1"/>
    </xf>
    <xf numFmtId="0" fontId="27" fillId="6" borderId="7" xfId="2" applyFont="1" applyFill="1" applyBorder="1" applyAlignment="1">
      <alignment vertical="center"/>
    </xf>
    <xf numFmtId="0" fontId="27" fillId="6" borderId="0" xfId="2" applyFont="1" applyFill="1" applyAlignment="1">
      <alignment vertical="center"/>
    </xf>
    <xf numFmtId="0" fontId="28" fillId="0" borderId="0" xfId="2" applyFont="1" applyAlignment="1">
      <alignment horizontal="justify" vertical="center"/>
    </xf>
    <xf numFmtId="0" fontId="3" fillId="0" borderId="0" xfId="2" applyFont="1" applyAlignment="1">
      <alignment vertical="center"/>
    </xf>
    <xf numFmtId="0" fontId="30" fillId="0" borderId="0" xfId="2" applyFont="1" applyAlignment="1">
      <alignment horizontal="justify" vertical="center"/>
    </xf>
    <xf numFmtId="0" fontId="31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3" fillId="0" borderId="0" xfId="2" applyFont="1" applyAlignment="1">
      <alignment horizontal="left" vertical="center"/>
    </xf>
  </cellXfs>
  <cellStyles count="6">
    <cellStyle name="쉼표 [0]" xfId="1" builtinId="6"/>
    <cellStyle name="표준" xfId="0" builtinId="0"/>
    <cellStyle name="표준 2 2" xfId="2" xr:uid="{604600E3-96FF-4F69-9C37-88B9B0FCFE24}"/>
    <cellStyle name="표준 3 2" xfId="4" xr:uid="{5343F62C-7397-492B-B6D5-8D46B4458CC5}"/>
    <cellStyle name="하이퍼링크" xfId="3" builtinId="8"/>
    <cellStyle name="하이퍼링크 2" xfId="5" xr:uid="{7E806849-61A4-4452-85B8-7CD340499FD6}"/>
  </cellStyles>
  <dxfs count="2"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981</xdr:colOff>
      <xdr:row>0</xdr:row>
      <xdr:rowOff>261353</xdr:rowOff>
    </xdr:from>
    <xdr:to>
      <xdr:col>2</xdr:col>
      <xdr:colOff>2114718</xdr:colOff>
      <xdr:row>9</xdr:row>
      <xdr:rowOff>18916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61675B6-FFAC-442B-9F41-AC1B2F5E6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221" y="261353"/>
          <a:ext cx="3241497" cy="1601603"/>
        </a:xfrm>
        <a:prstGeom prst="rect">
          <a:avLst/>
        </a:prstGeom>
      </xdr:spPr>
    </xdr:pic>
    <xdr:clientData/>
  </xdr:twoCellAnchor>
  <xdr:oneCellAnchor>
    <xdr:from>
      <xdr:col>5</xdr:col>
      <xdr:colOff>6626</xdr:colOff>
      <xdr:row>75</xdr:row>
      <xdr:rowOff>99391</xdr:rowOff>
    </xdr:from>
    <xdr:ext cx="1360387" cy="716453"/>
    <xdr:pic>
      <xdr:nvPicPr>
        <xdr:cNvPr id="3" name="그림 2">
          <a:extLst>
            <a:ext uri="{FF2B5EF4-FFF2-40B4-BE49-F238E27FC236}">
              <a16:creationId xmlns:a16="http://schemas.microsoft.com/office/drawing/2014/main" id="{B5758918-DA4E-496B-800A-B4EBC9065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186648">
          <a:off x="5406887" y="15836348"/>
          <a:ext cx="1360387" cy="71645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123405</xdr:colOff>
      <xdr:row>0</xdr:row>
      <xdr:rowOff>83820</xdr:rowOff>
    </xdr:from>
    <xdr:ext cx="4122840" cy="1796415"/>
    <xdr:pic>
      <xdr:nvPicPr>
        <xdr:cNvPr id="2" name="그림 1">
          <a:extLst>
            <a:ext uri="{FF2B5EF4-FFF2-40B4-BE49-F238E27FC236}">
              <a16:creationId xmlns:a16="http://schemas.microsoft.com/office/drawing/2014/main" id="{247B0765-D584-4FF8-9C69-E0735DB6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310" y="85725"/>
          <a:ext cx="4122840" cy="1796415"/>
        </a:xfrm>
        <a:prstGeom prst="rect">
          <a:avLst/>
        </a:prstGeom>
      </xdr:spPr>
    </xdr:pic>
    <xdr:clientData/>
  </xdr:oneCellAnchor>
  <xdr:oneCellAnchor>
    <xdr:from>
      <xdr:col>1</xdr:col>
      <xdr:colOff>1645919</xdr:colOff>
      <xdr:row>90</xdr:row>
      <xdr:rowOff>180975</xdr:rowOff>
    </xdr:from>
    <xdr:ext cx="1360387" cy="716453"/>
    <xdr:pic>
      <xdr:nvPicPr>
        <xdr:cNvPr id="3" name="그림 2">
          <a:extLst>
            <a:ext uri="{FF2B5EF4-FFF2-40B4-BE49-F238E27FC236}">
              <a16:creationId xmlns:a16="http://schemas.microsoft.com/office/drawing/2014/main" id="{D66BE06E-F429-4DCA-AD23-764A82BAE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186648">
          <a:off x="1333499" y="9818370"/>
          <a:ext cx="1360387" cy="716453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HP_Owner/Desktop/Performa%20Invoice%20(&#54644;&#50808;)%20(170811)%20(T)_rev13.xlsm" TargetMode="External"/><Relationship Id="rId1" Type="http://schemas.openxmlformats.org/officeDocument/2006/relationships/externalLinkPath" Target="/Users/HP_Owner/Desktop/Performa%20Invoice%20(&#54644;&#50808;)%20(170811)%20(T)_rev1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forma Invoice (실행 ▶ Ctr + q)"/>
      <sheetName val="Price List (해외)"/>
      <sheetName val="Signiture"/>
      <sheetName val="AFIAS"/>
      <sheetName val="ichroma"/>
      <sheetName val="instrument"/>
      <sheetName val="Con, Cal"/>
      <sheetName val="Accessory"/>
      <sheetName val="Sales Rep DB"/>
      <sheetName val="Data"/>
      <sheetName val="Data3"/>
      <sheetName val="Data2"/>
    </sheetNames>
    <sheetDataSet>
      <sheetData sheetId="0"/>
      <sheetData sheetId="1">
        <row r="1">
          <cell r="D1" t="str">
            <v>JAESEON HWANG</v>
          </cell>
        </row>
      </sheetData>
      <sheetData sheetId="2" refreshError="1"/>
      <sheetData sheetId="3">
        <row r="1">
          <cell r="A1">
            <v>0</v>
          </cell>
          <cell r="B1">
            <v>0</v>
          </cell>
        </row>
        <row r="2">
          <cell r="A2">
            <v>0</v>
          </cell>
          <cell r="B2">
            <v>0</v>
          </cell>
        </row>
        <row r="3">
          <cell r="A3">
            <v>0</v>
          </cell>
          <cell r="B3" t="str">
            <v>Country</v>
          </cell>
        </row>
        <row r="4">
          <cell r="A4" t="str">
            <v>EU</v>
          </cell>
          <cell r="B4" t="str">
            <v>Greece</v>
          </cell>
        </row>
        <row r="5">
          <cell r="A5" t="str">
            <v>EU</v>
          </cell>
          <cell r="B5" t="str">
            <v>Greece</v>
          </cell>
        </row>
        <row r="6">
          <cell r="A6" t="str">
            <v>EU</v>
          </cell>
          <cell r="B6" t="str">
            <v>Greece</v>
          </cell>
        </row>
        <row r="7">
          <cell r="A7" t="str">
            <v>EU</v>
          </cell>
          <cell r="B7" t="str">
            <v>The Netherlands</v>
          </cell>
        </row>
        <row r="8">
          <cell r="A8" t="str">
            <v>EU</v>
          </cell>
          <cell r="B8" t="str">
            <v>The Netherlands</v>
          </cell>
        </row>
        <row r="9">
          <cell r="A9" t="str">
            <v>EU</v>
          </cell>
          <cell r="B9" t="str">
            <v>Germany</v>
          </cell>
        </row>
        <row r="10">
          <cell r="A10" t="str">
            <v>EU</v>
          </cell>
          <cell r="B10" t="str">
            <v>Germany</v>
          </cell>
        </row>
        <row r="11">
          <cell r="A11" t="str">
            <v>EU</v>
          </cell>
          <cell r="B11" t="str">
            <v>Germany</v>
          </cell>
        </row>
        <row r="12">
          <cell r="A12" t="str">
            <v>EU</v>
          </cell>
          <cell r="B12" t="str">
            <v>Romania</v>
          </cell>
        </row>
        <row r="13">
          <cell r="A13" t="str">
            <v>EU</v>
          </cell>
          <cell r="B13" t="str">
            <v>Lithuania</v>
          </cell>
        </row>
        <row r="14">
          <cell r="A14" t="str">
            <v>EU</v>
          </cell>
          <cell r="B14" t="str">
            <v>Macedonia</v>
          </cell>
        </row>
        <row r="15">
          <cell r="A15" t="str">
            <v>EU</v>
          </cell>
          <cell r="B15" t="str">
            <v>Belgium</v>
          </cell>
        </row>
        <row r="16">
          <cell r="A16" t="str">
            <v>EU</v>
          </cell>
          <cell r="B16" t="str">
            <v>Lithuania</v>
          </cell>
        </row>
        <row r="17">
          <cell r="A17" t="str">
            <v>EU</v>
          </cell>
          <cell r="B17" t="str">
            <v>Bosnia &amp; Herzegovina</v>
          </cell>
        </row>
        <row r="18">
          <cell r="A18" t="str">
            <v>EU</v>
          </cell>
          <cell r="B18" t="str">
            <v>Bulgaria</v>
          </cell>
        </row>
        <row r="19">
          <cell r="A19" t="str">
            <v>EU</v>
          </cell>
          <cell r="B19" t="str">
            <v>Bulgaria</v>
          </cell>
        </row>
        <row r="20">
          <cell r="A20" t="str">
            <v>EU</v>
          </cell>
          <cell r="B20" t="str">
            <v>Sweden</v>
          </cell>
        </row>
        <row r="21">
          <cell r="A21" t="str">
            <v>EU</v>
          </cell>
          <cell r="B21" t="str">
            <v>Switzerland</v>
          </cell>
        </row>
        <row r="22">
          <cell r="A22" t="str">
            <v>EU</v>
          </cell>
          <cell r="B22" t="str">
            <v>Switzerland</v>
          </cell>
        </row>
        <row r="23">
          <cell r="A23" t="str">
            <v>EU</v>
          </cell>
          <cell r="B23" t="str">
            <v>Spain</v>
          </cell>
        </row>
        <row r="24">
          <cell r="A24" t="str">
            <v>EU</v>
          </cell>
          <cell r="B24" t="str">
            <v>Spain</v>
          </cell>
        </row>
        <row r="25">
          <cell r="A25" t="str">
            <v>EU</v>
          </cell>
          <cell r="B25" t="str">
            <v>Slovakia</v>
          </cell>
        </row>
        <row r="26">
          <cell r="A26" t="str">
            <v>EU</v>
          </cell>
          <cell r="B26" t="str">
            <v>Slovenia</v>
          </cell>
        </row>
        <row r="27">
          <cell r="A27" t="str">
            <v>EU</v>
          </cell>
          <cell r="B27" t="str">
            <v xml:space="preserve">Albania </v>
          </cell>
        </row>
        <row r="28">
          <cell r="A28" t="str">
            <v>EU</v>
          </cell>
          <cell r="B28" t="str">
            <v>Kosovo</v>
          </cell>
        </row>
        <row r="29">
          <cell r="A29" t="str">
            <v>EU</v>
          </cell>
          <cell r="B29" t="str">
            <v>United Kingdom</v>
          </cell>
        </row>
        <row r="30">
          <cell r="A30" t="str">
            <v>EU</v>
          </cell>
          <cell r="B30" t="str">
            <v>Austria</v>
          </cell>
        </row>
        <row r="31">
          <cell r="A31" t="str">
            <v>EU</v>
          </cell>
          <cell r="B31" t="str">
            <v>Italy</v>
          </cell>
        </row>
        <row r="32">
          <cell r="A32" t="str">
            <v>EU</v>
          </cell>
          <cell r="B32" t="str">
            <v>Italy</v>
          </cell>
        </row>
        <row r="33">
          <cell r="A33" t="str">
            <v>EU</v>
          </cell>
          <cell r="B33" t="str">
            <v>Czech Republic</v>
          </cell>
        </row>
        <row r="34">
          <cell r="A34" t="str">
            <v>EU</v>
          </cell>
          <cell r="B34" t="str">
            <v>Czech Republic</v>
          </cell>
        </row>
        <row r="35">
          <cell r="A35" t="str">
            <v>EU</v>
          </cell>
          <cell r="B35" t="str">
            <v>Kosovo</v>
          </cell>
        </row>
        <row r="36">
          <cell r="A36" t="str">
            <v>EU</v>
          </cell>
          <cell r="B36" t="str">
            <v>Portugal</v>
          </cell>
        </row>
        <row r="37">
          <cell r="A37" t="str">
            <v>EU</v>
          </cell>
          <cell r="B37" t="str">
            <v>Poland</v>
          </cell>
        </row>
        <row r="38">
          <cell r="A38" t="str">
            <v>EU</v>
          </cell>
          <cell r="B38" t="str">
            <v>Poland</v>
          </cell>
        </row>
        <row r="39">
          <cell r="A39" t="str">
            <v>EU</v>
          </cell>
          <cell r="B39" t="str">
            <v>France</v>
          </cell>
        </row>
        <row r="40">
          <cell r="A40" t="str">
            <v>EU</v>
          </cell>
          <cell r="B40" t="str">
            <v>Hungary</v>
          </cell>
        </row>
        <row r="41">
          <cell r="A41" t="str">
            <v>EU</v>
          </cell>
          <cell r="B41" t="str">
            <v>Cyprus</v>
          </cell>
        </row>
        <row r="42">
          <cell r="A42" t="str">
            <v>EU</v>
          </cell>
          <cell r="B42" t="str">
            <v>Serbia</v>
          </cell>
        </row>
        <row r="43">
          <cell r="A43" t="str">
            <v>EU</v>
          </cell>
          <cell r="B43" t="str">
            <v>Ukraine</v>
          </cell>
        </row>
        <row r="44">
          <cell r="A44" t="str">
            <v>EU</v>
          </cell>
          <cell r="B44" t="str">
            <v>Republic of Kazakstan</v>
          </cell>
        </row>
        <row r="45">
          <cell r="A45" t="str">
            <v>LA</v>
          </cell>
          <cell r="B45" t="str">
            <v>Guyana</v>
          </cell>
        </row>
        <row r="46">
          <cell r="A46" t="str">
            <v>LA</v>
          </cell>
          <cell r="B46" t="str">
            <v>Guatemala</v>
          </cell>
        </row>
        <row r="47">
          <cell r="A47" t="str">
            <v>LA</v>
          </cell>
          <cell r="B47" t="str">
            <v>Dominican Republic</v>
          </cell>
        </row>
        <row r="48">
          <cell r="A48" t="str">
            <v>LA</v>
          </cell>
          <cell r="B48" t="str">
            <v>Mexico</v>
          </cell>
        </row>
        <row r="49">
          <cell r="A49" t="str">
            <v>LA</v>
          </cell>
          <cell r="B49" t="str">
            <v>Mexico</v>
          </cell>
        </row>
        <row r="50">
          <cell r="A50" t="str">
            <v>LA</v>
          </cell>
          <cell r="B50" t="str">
            <v>Brazil</v>
          </cell>
        </row>
        <row r="51">
          <cell r="A51" t="str">
            <v>LA</v>
          </cell>
          <cell r="B51" t="str">
            <v>Ecuador</v>
          </cell>
        </row>
        <row r="52">
          <cell r="A52" t="str">
            <v>LA</v>
          </cell>
          <cell r="B52" t="str">
            <v>Chile</v>
          </cell>
        </row>
        <row r="53">
          <cell r="A53" t="str">
            <v>LA</v>
          </cell>
          <cell r="B53" t="str">
            <v>Colombia</v>
          </cell>
        </row>
        <row r="54">
          <cell r="A54" t="str">
            <v>AS</v>
          </cell>
          <cell r="B54" t="str">
            <v>Indonesia</v>
          </cell>
        </row>
        <row r="55">
          <cell r="A55" t="str">
            <v>AS</v>
          </cell>
          <cell r="B55" t="str">
            <v>Indonesia</v>
          </cell>
        </row>
        <row r="56">
          <cell r="A56" t="str">
            <v>AS</v>
          </cell>
          <cell r="B56" t="str">
            <v>Philippines</v>
          </cell>
        </row>
        <row r="57">
          <cell r="A57" t="str">
            <v>AS</v>
          </cell>
          <cell r="B57" t="str">
            <v>Philippines</v>
          </cell>
        </row>
        <row r="58">
          <cell r="A58" t="str">
            <v>AS</v>
          </cell>
          <cell r="B58" t="str">
            <v>Philippines</v>
          </cell>
        </row>
        <row r="59">
          <cell r="A59" t="str">
            <v>AS</v>
          </cell>
          <cell r="B59" t="str">
            <v>Myanmar</v>
          </cell>
        </row>
        <row r="60">
          <cell r="A60" t="str">
            <v>AS</v>
          </cell>
          <cell r="B60" t="str">
            <v>Thailand</v>
          </cell>
        </row>
        <row r="61">
          <cell r="A61" t="str">
            <v>AS</v>
          </cell>
          <cell r="B61" t="str">
            <v>Thailand</v>
          </cell>
        </row>
        <row r="62">
          <cell r="A62" t="str">
            <v>AS</v>
          </cell>
          <cell r="B62" t="str">
            <v>Cambodia</v>
          </cell>
        </row>
        <row r="63">
          <cell r="A63" t="str">
            <v>AS</v>
          </cell>
          <cell r="B63" t="str">
            <v>Vietnam</v>
          </cell>
        </row>
        <row r="64">
          <cell r="A64" t="str">
            <v>AS</v>
          </cell>
          <cell r="B64" t="str">
            <v>Vietnam</v>
          </cell>
        </row>
        <row r="65">
          <cell r="A65" t="str">
            <v>AS</v>
          </cell>
          <cell r="B65" t="str">
            <v>Vietnam</v>
          </cell>
        </row>
        <row r="66">
          <cell r="A66" t="str">
            <v>AS</v>
          </cell>
          <cell r="B66" t="str">
            <v>Malaysia</v>
          </cell>
        </row>
        <row r="67">
          <cell r="A67" t="str">
            <v>AS</v>
          </cell>
          <cell r="B67" t="str">
            <v>Australia</v>
          </cell>
        </row>
        <row r="68">
          <cell r="A68" t="str">
            <v>AS</v>
          </cell>
          <cell r="B68" t="str">
            <v>New Zealand</v>
          </cell>
        </row>
        <row r="69">
          <cell r="A69" t="str">
            <v>AF</v>
          </cell>
          <cell r="B69" t="str">
            <v>Benin</v>
          </cell>
        </row>
        <row r="70">
          <cell r="A70" t="str">
            <v>AF</v>
          </cell>
          <cell r="B70" t="str">
            <v>Burkina Faso</v>
          </cell>
        </row>
        <row r="71">
          <cell r="A71" t="str">
            <v>AF</v>
          </cell>
          <cell r="B71" t="str">
            <v>Cameroon</v>
          </cell>
        </row>
        <row r="72">
          <cell r="A72" t="str">
            <v>AF</v>
          </cell>
          <cell r="B72" t="str">
            <v>Cote d'Ivoire</v>
          </cell>
        </row>
        <row r="73">
          <cell r="A73" t="str">
            <v>AF</v>
          </cell>
          <cell r="B73" t="str">
            <v>DR Congo (Kinshasa)</v>
          </cell>
        </row>
        <row r="74">
          <cell r="A74" t="str">
            <v>AF</v>
          </cell>
          <cell r="B74" t="str">
            <v>Addis Ababa Airport</v>
          </cell>
        </row>
        <row r="75">
          <cell r="A75" t="str">
            <v>AF</v>
          </cell>
          <cell r="B75" t="str">
            <v>Ghana</v>
          </cell>
        </row>
        <row r="76">
          <cell r="A76" t="str">
            <v>AF</v>
          </cell>
          <cell r="B76" t="str">
            <v>Kenya</v>
          </cell>
        </row>
        <row r="77">
          <cell r="A77" t="str">
            <v>AF</v>
          </cell>
          <cell r="B77" t="str">
            <v>Monrovia, Liberia</v>
          </cell>
        </row>
        <row r="78">
          <cell r="A78" t="str">
            <v>AF</v>
          </cell>
          <cell r="B78" t="str">
            <v>Mali</v>
          </cell>
        </row>
        <row r="79">
          <cell r="A79" t="str">
            <v>AF</v>
          </cell>
          <cell r="B79" t="str">
            <v>Republic of Mauritius</v>
          </cell>
        </row>
        <row r="80">
          <cell r="A80" t="str">
            <v>AF</v>
          </cell>
          <cell r="B80" t="str">
            <v>Mozambique</v>
          </cell>
        </row>
        <row r="81">
          <cell r="A81" t="str">
            <v>AF</v>
          </cell>
          <cell r="B81" t="str">
            <v>Niger</v>
          </cell>
        </row>
        <row r="82">
          <cell r="A82" t="str">
            <v>AF</v>
          </cell>
          <cell r="B82" t="str">
            <v>Niger</v>
          </cell>
        </row>
        <row r="83">
          <cell r="A83" t="str">
            <v>AF</v>
          </cell>
          <cell r="B83" t="str">
            <v>Nigeria</v>
          </cell>
        </row>
        <row r="84">
          <cell r="A84" t="str">
            <v>AF</v>
          </cell>
          <cell r="B84" t="str">
            <v>Somalia(via Djibouti)</v>
          </cell>
        </row>
        <row r="85">
          <cell r="A85" t="str">
            <v>AF</v>
          </cell>
          <cell r="B85" t="str">
            <v>South Africa</v>
          </cell>
        </row>
        <row r="86">
          <cell r="A86" t="str">
            <v>AF</v>
          </cell>
          <cell r="B86" t="str">
            <v>Tanzania</v>
          </cell>
        </row>
        <row r="87">
          <cell r="A87" t="str">
            <v>AF</v>
          </cell>
          <cell r="B87" t="str">
            <v>Uganda</v>
          </cell>
        </row>
        <row r="88">
          <cell r="A88" t="str">
            <v>AF</v>
          </cell>
          <cell r="B88" t="str">
            <v>Zambia</v>
          </cell>
        </row>
        <row r="89">
          <cell r="A89" t="str">
            <v>AF</v>
          </cell>
          <cell r="B89" t="str">
            <v>Zimbabwe</v>
          </cell>
        </row>
        <row r="90">
          <cell r="A90" t="str">
            <v>SA</v>
          </cell>
          <cell r="B90" t="str">
            <v>Mumbai, India</v>
          </cell>
        </row>
        <row r="91">
          <cell r="A91" t="str">
            <v>SA</v>
          </cell>
          <cell r="B91" t="str">
            <v>Nepal</v>
          </cell>
        </row>
        <row r="92">
          <cell r="A92" t="str">
            <v>SA</v>
          </cell>
          <cell r="B92" t="str">
            <v>India</v>
          </cell>
        </row>
        <row r="93">
          <cell r="A93" t="str">
            <v>SA</v>
          </cell>
          <cell r="B93" t="str">
            <v>Pakistan</v>
          </cell>
        </row>
        <row r="94">
          <cell r="A94" t="str">
            <v>SA</v>
          </cell>
          <cell r="B94" t="str">
            <v>Bangladesh</v>
          </cell>
        </row>
        <row r="95">
          <cell r="A95" t="str">
            <v>SA</v>
          </cell>
          <cell r="B95" t="str">
            <v>Hyderabad, India</v>
          </cell>
        </row>
        <row r="96">
          <cell r="A96" t="str">
            <v>SA</v>
          </cell>
          <cell r="B96" t="str">
            <v>Delhi airport in India</v>
          </cell>
        </row>
        <row r="97">
          <cell r="A97" t="str">
            <v>SA</v>
          </cell>
          <cell r="B97" t="str">
            <v>Kolkata airport in India</v>
          </cell>
        </row>
        <row r="98">
          <cell r="A98" t="str">
            <v>SA</v>
          </cell>
          <cell r="B98" t="str">
            <v>Sri Lanka</v>
          </cell>
        </row>
        <row r="99">
          <cell r="A99" t="str">
            <v>SA</v>
          </cell>
          <cell r="B99" t="str">
            <v>Mongolia</v>
          </cell>
        </row>
        <row r="100">
          <cell r="A100" t="str">
            <v>SA</v>
          </cell>
          <cell r="B100" t="str">
            <v>Afghanistan</v>
          </cell>
        </row>
        <row r="101">
          <cell r="A101" t="str">
            <v>SA</v>
          </cell>
          <cell r="B101" t="str">
            <v>Nepal</v>
          </cell>
        </row>
        <row r="102">
          <cell r="A102" t="str">
            <v>SA</v>
          </cell>
          <cell r="B102" t="str">
            <v>India</v>
          </cell>
        </row>
        <row r="103">
          <cell r="A103" t="str">
            <v>MENA</v>
          </cell>
          <cell r="B103" t="str">
            <v>Bahrain</v>
          </cell>
        </row>
        <row r="104">
          <cell r="A104" t="str">
            <v>MENA</v>
          </cell>
          <cell r="B104" t="str">
            <v>Iran</v>
          </cell>
        </row>
        <row r="105">
          <cell r="A105" t="str">
            <v>MENA</v>
          </cell>
          <cell r="B105" t="str">
            <v>Iraq</v>
          </cell>
        </row>
        <row r="106">
          <cell r="A106" t="str">
            <v>MENA</v>
          </cell>
          <cell r="B106" t="str">
            <v>Jordan</v>
          </cell>
        </row>
        <row r="107">
          <cell r="A107" t="str">
            <v>MENA</v>
          </cell>
          <cell r="B107" t="str">
            <v>Lebanon</v>
          </cell>
        </row>
        <row r="108">
          <cell r="A108" t="str">
            <v>MENA</v>
          </cell>
          <cell r="B108" t="str">
            <v>Morocco</v>
          </cell>
        </row>
        <row r="109">
          <cell r="A109" t="str">
            <v>MENA</v>
          </cell>
          <cell r="B109" t="str">
            <v>Morocco</v>
          </cell>
        </row>
        <row r="110">
          <cell r="A110" t="str">
            <v>MENA</v>
          </cell>
          <cell r="B110" t="str">
            <v>Palestine</v>
          </cell>
        </row>
        <row r="111">
          <cell r="A111" t="str">
            <v>MENA</v>
          </cell>
          <cell r="B111" t="str">
            <v>Palestine</v>
          </cell>
        </row>
        <row r="112">
          <cell r="A112" t="str">
            <v>MENA</v>
          </cell>
          <cell r="B112" t="str">
            <v>Qatar</v>
          </cell>
        </row>
        <row r="113">
          <cell r="A113" t="str">
            <v>MENA</v>
          </cell>
          <cell r="B113" t="str">
            <v>Sudan</v>
          </cell>
        </row>
        <row r="114">
          <cell r="A114" t="str">
            <v>MENA</v>
          </cell>
          <cell r="B114" t="str">
            <v>Syria</v>
          </cell>
        </row>
        <row r="115">
          <cell r="A115" t="str">
            <v>MENA</v>
          </cell>
          <cell r="B115" t="str">
            <v>Tunisia</v>
          </cell>
        </row>
        <row r="116">
          <cell r="A116" t="str">
            <v>MENA</v>
          </cell>
          <cell r="B116" t="str">
            <v>Turkey</v>
          </cell>
        </row>
        <row r="117">
          <cell r="A117" t="str">
            <v>MENA</v>
          </cell>
          <cell r="B117" t="str">
            <v>UAE</v>
          </cell>
        </row>
      </sheetData>
      <sheetData sheetId="4">
        <row r="1">
          <cell r="A1">
            <v>0</v>
          </cell>
        </row>
        <row r="2">
          <cell r="A2">
            <v>0</v>
          </cell>
        </row>
        <row r="3">
          <cell r="A3">
            <v>0</v>
          </cell>
        </row>
        <row r="4">
          <cell r="A4" t="str">
            <v>EU</v>
          </cell>
        </row>
        <row r="5">
          <cell r="A5" t="str">
            <v>EU</v>
          </cell>
        </row>
        <row r="6">
          <cell r="A6" t="str">
            <v>EU</v>
          </cell>
        </row>
        <row r="7">
          <cell r="A7" t="str">
            <v>EU</v>
          </cell>
        </row>
        <row r="8">
          <cell r="A8" t="str">
            <v>EU</v>
          </cell>
        </row>
        <row r="9">
          <cell r="A9" t="str">
            <v>EU</v>
          </cell>
        </row>
        <row r="10">
          <cell r="A10" t="str">
            <v>EU</v>
          </cell>
        </row>
        <row r="11">
          <cell r="A11" t="str">
            <v>EU</v>
          </cell>
        </row>
        <row r="12">
          <cell r="A12" t="str">
            <v>EU</v>
          </cell>
        </row>
        <row r="13">
          <cell r="A13" t="str">
            <v>EU</v>
          </cell>
        </row>
        <row r="14">
          <cell r="A14" t="str">
            <v>EU</v>
          </cell>
        </row>
        <row r="15">
          <cell r="A15" t="str">
            <v>EU</v>
          </cell>
        </row>
        <row r="16">
          <cell r="A16" t="str">
            <v>EU</v>
          </cell>
        </row>
        <row r="17">
          <cell r="A17" t="str">
            <v>EU</v>
          </cell>
        </row>
        <row r="18">
          <cell r="A18" t="str">
            <v>EU</v>
          </cell>
        </row>
        <row r="19">
          <cell r="A19" t="str">
            <v>EU</v>
          </cell>
        </row>
        <row r="20">
          <cell r="A20" t="str">
            <v>EU</v>
          </cell>
        </row>
        <row r="21">
          <cell r="A21" t="str">
            <v>EU</v>
          </cell>
        </row>
        <row r="22">
          <cell r="A22" t="str">
            <v>EU</v>
          </cell>
        </row>
        <row r="23">
          <cell r="A23" t="str">
            <v>EU</v>
          </cell>
        </row>
        <row r="24">
          <cell r="A24" t="str">
            <v>EU</v>
          </cell>
        </row>
        <row r="25">
          <cell r="A25" t="str">
            <v>EU</v>
          </cell>
        </row>
        <row r="26">
          <cell r="A26" t="str">
            <v>EU</v>
          </cell>
        </row>
        <row r="27">
          <cell r="A27" t="str">
            <v>EU</v>
          </cell>
        </row>
        <row r="28">
          <cell r="A28" t="str">
            <v>EU</v>
          </cell>
        </row>
        <row r="29">
          <cell r="A29" t="str">
            <v>EU</v>
          </cell>
        </row>
        <row r="30">
          <cell r="A30" t="str">
            <v>EU</v>
          </cell>
        </row>
        <row r="31">
          <cell r="A31" t="str">
            <v>EU</v>
          </cell>
        </row>
        <row r="32">
          <cell r="A32" t="str">
            <v>EU</v>
          </cell>
        </row>
        <row r="33">
          <cell r="A33" t="str">
            <v>EU</v>
          </cell>
        </row>
        <row r="34">
          <cell r="A34" t="str">
            <v>EU</v>
          </cell>
        </row>
        <row r="35">
          <cell r="A35" t="str">
            <v>EU</v>
          </cell>
        </row>
        <row r="36">
          <cell r="A36" t="str">
            <v>EU</v>
          </cell>
        </row>
        <row r="37">
          <cell r="A37" t="str">
            <v>EU</v>
          </cell>
        </row>
        <row r="38">
          <cell r="A38" t="str">
            <v>EU</v>
          </cell>
        </row>
        <row r="39">
          <cell r="A39" t="str">
            <v>EU</v>
          </cell>
        </row>
        <row r="40">
          <cell r="A40" t="str">
            <v>EU</v>
          </cell>
        </row>
        <row r="41">
          <cell r="A41" t="str">
            <v>EU</v>
          </cell>
        </row>
        <row r="42">
          <cell r="A42" t="str">
            <v>EU</v>
          </cell>
        </row>
        <row r="43">
          <cell r="A43" t="str">
            <v>EU</v>
          </cell>
        </row>
        <row r="44">
          <cell r="A44" t="str">
            <v>EU</v>
          </cell>
        </row>
        <row r="45">
          <cell r="A45" t="str">
            <v>LA</v>
          </cell>
        </row>
        <row r="46">
          <cell r="A46" t="str">
            <v>LA</v>
          </cell>
        </row>
        <row r="47">
          <cell r="A47" t="str">
            <v>LA</v>
          </cell>
        </row>
        <row r="48">
          <cell r="A48" t="str">
            <v>LA</v>
          </cell>
        </row>
        <row r="49">
          <cell r="A49" t="str">
            <v>LA</v>
          </cell>
        </row>
        <row r="50">
          <cell r="A50" t="str">
            <v>LA</v>
          </cell>
        </row>
        <row r="51">
          <cell r="A51" t="str">
            <v>LA</v>
          </cell>
        </row>
        <row r="52">
          <cell r="A52" t="str">
            <v>LA</v>
          </cell>
        </row>
        <row r="53">
          <cell r="A53" t="str">
            <v>LA</v>
          </cell>
        </row>
        <row r="54">
          <cell r="A54" t="str">
            <v>AS</v>
          </cell>
        </row>
        <row r="55">
          <cell r="A55" t="str">
            <v>AS</v>
          </cell>
        </row>
        <row r="56">
          <cell r="A56" t="str">
            <v>AS</v>
          </cell>
        </row>
        <row r="57">
          <cell r="A57" t="str">
            <v>AS</v>
          </cell>
        </row>
        <row r="58">
          <cell r="A58" t="str">
            <v>AS</v>
          </cell>
        </row>
        <row r="59">
          <cell r="A59" t="str">
            <v>AS</v>
          </cell>
        </row>
        <row r="60">
          <cell r="A60" t="str">
            <v>AS</v>
          </cell>
        </row>
        <row r="61">
          <cell r="A61" t="str">
            <v>AS</v>
          </cell>
        </row>
        <row r="62">
          <cell r="A62" t="str">
            <v>AS</v>
          </cell>
        </row>
        <row r="63">
          <cell r="A63" t="str">
            <v>AS</v>
          </cell>
        </row>
        <row r="64">
          <cell r="A64" t="str">
            <v>AS</v>
          </cell>
        </row>
        <row r="65">
          <cell r="A65" t="str">
            <v>AS</v>
          </cell>
        </row>
        <row r="66">
          <cell r="A66" t="str">
            <v>AS</v>
          </cell>
        </row>
        <row r="67">
          <cell r="A67" t="str">
            <v>AS</v>
          </cell>
        </row>
        <row r="68">
          <cell r="A68" t="str">
            <v>AS</v>
          </cell>
        </row>
        <row r="69">
          <cell r="A69" t="str">
            <v>AF</v>
          </cell>
        </row>
        <row r="70">
          <cell r="A70" t="str">
            <v>AF</v>
          </cell>
        </row>
        <row r="71">
          <cell r="A71" t="str">
            <v>AF</v>
          </cell>
        </row>
        <row r="72">
          <cell r="A72" t="str">
            <v>AF</v>
          </cell>
        </row>
        <row r="73">
          <cell r="A73" t="str">
            <v>AF</v>
          </cell>
        </row>
        <row r="74">
          <cell r="A74" t="str">
            <v>AF</v>
          </cell>
        </row>
        <row r="75">
          <cell r="A75" t="str">
            <v>AF</v>
          </cell>
        </row>
        <row r="76">
          <cell r="A76" t="str">
            <v>AF</v>
          </cell>
        </row>
        <row r="77">
          <cell r="A77" t="str">
            <v>AF</v>
          </cell>
        </row>
        <row r="78">
          <cell r="A78" t="str">
            <v>AF</v>
          </cell>
        </row>
        <row r="79">
          <cell r="A79" t="str">
            <v>AF</v>
          </cell>
        </row>
        <row r="80">
          <cell r="A80" t="str">
            <v>AF</v>
          </cell>
        </row>
        <row r="81">
          <cell r="A81" t="str">
            <v>AF</v>
          </cell>
        </row>
        <row r="82">
          <cell r="A82" t="str">
            <v>AF</v>
          </cell>
        </row>
        <row r="83">
          <cell r="A83" t="str">
            <v>AF</v>
          </cell>
        </row>
        <row r="84">
          <cell r="A84" t="str">
            <v>AF</v>
          </cell>
        </row>
        <row r="85">
          <cell r="A85" t="str">
            <v>AF</v>
          </cell>
        </row>
        <row r="86">
          <cell r="A86" t="str">
            <v>AF</v>
          </cell>
        </row>
        <row r="87">
          <cell r="A87" t="str">
            <v>AF</v>
          </cell>
        </row>
        <row r="88">
          <cell r="A88" t="str">
            <v>AF</v>
          </cell>
        </row>
        <row r="89">
          <cell r="A89" t="str">
            <v>AF</v>
          </cell>
        </row>
        <row r="90">
          <cell r="A90" t="str">
            <v>SA</v>
          </cell>
        </row>
        <row r="91">
          <cell r="A91" t="str">
            <v>SA</v>
          </cell>
        </row>
        <row r="92">
          <cell r="A92" t="str">
            <v>SA</v>
          </cell>
        </row>
        <row r="93">
          <cell r="A93" t="str">
            <v>SA</v>
          </cell>
        </row>
        <row r="94">
          <cell r="A94" t="str">
            <v>SA</v>
          </cell>
        </row>
        <row r="95">
          <cell r="A95" t="str">
            <v>SA</v>
          </cell>
        </row>
        <row r="96">
          <cell r="A96" t="str">
            <v>SA</v>
          </cell>
        </row>
        <row r="97">
          <cell r="A97" t="str">
            <v>SA</v>
          </cell>
        </row>
        <row r="98">
          <cell r="A98" t="str">
            <v>SA</v>
          </cell>
        </row>
        <row r="99">
          <cell r="A99" t="str">
            <v>SA</v>
          </cell>
        </row>
        <row r="100">
          <cell r="A100" t="str">
            <v>SA</v>
          </cell>
        </row>
        <row r="101">
          <cell r="A101" t="str">
            <v>SA</v>
          </cell>
        </row>
        <row r="102">
          <cell r="A102" t="str">
            <v>SA</v>
          </cell>
        </row>
        <row r="103">
          <cell r="A103" t="str">
            <v>MENA</v>
          </cell>
        </row>
        <row r="104">
          <cell r="A104" t="str">
            <v>MENA</v>
          </cell>
        </row>
        <row r="105">
          <cell r="A105" t="str">
            <v>MENA</v>
          </cell>
        </row>
        <row r="106">
          <cell r="A106" t="str">
            <v>MENA</v>
          </cell>
        </row>
        <row r="107">
          <cell r="A107" t="str">
            <v>MENA</v>
          </cell>
        </row>
        <row r="108">
          <cell r="A108" t="str">
            <v>MENA</v>
          </cell>
        </row>
        <row r="109">
          <cell r="A109" t="str">
            <v>MENA</v>
          </cell>
        </row>
        <row r="110">
          <cell r="A110" t="str">
            <v>MENA</v>
          </cell>
        </row>
        <row r="111">
          <cell r="A111" t="str">
            <v>MENA</v>
          </cell>
        </row>
        <row r="112">
          <cell r="A112" t="str">
            <v>MENA</v>
          </cell>
        </row>
        <row r="113">
          <cell r="A113" t="str">
            <v>MENA</v>
          </cell>
        </row>
        <row r="114">
          <cell r="A114" t="str">
            <v>MENA</v>
          </cell>
        </row>
        <row r="115">
          <cell r="A115" t="str">
            <v>MENA</v>
          </cell>
        </row>
        <row r="116">
          <cell r="A116" t="str">
            <v>MENA</v>
          </cell>
        </row>
        <row r="117">
          <cell r="A117" t="str">
            <v>MENA</v>
          </cell>
        </row>
      </sheetData>
      <sheetData sheetId="5">
        <row r="1">
          <cell r="A1">
            <v>0</v>
          </cell>
        </row>
        <row r="2">
          <cell r="A2">
            <v>0</v>
          </cell>
        </row>
        <row r="3">
          <cell r="A3">
            <v>0</v>
          </cell>
        </row>
        <row r="4">
          <cell r="A4" t="str">
            <v>EU</v>
          </cell>
        </row>
        <row r="5">
          <cell r="A5" t="str">
            <v>EU</v>
          </cell>
        </row>
        <row r="6">
          <cell r="A6" t="str">
            <v>EU</v>
          </cell>
        </row>
        <row r="7">
          <cell r="A7" t="str">
            <v>EU</v>
          </cell>
        </row>
        <row r="8">
          <cell r="A8" t="str">
            <v>EU</v>
          </cell>
        </row>
        <row r="9">
          <cell r="A9" t="str">
            <v>EU</v>
          </cell>
        </row>
        <row r="10">
          <cell r="A10" t="str">
            <v>EU</v>
          </cell>
        </row>
        <row r="11">
          <cell r="A11" t="str">
            <v>EU</v>
          </cell>
        </row>
        <row r="12">
          <cell r="A12" t="str">
            <v>EU</v>
          </cell>
        </row>
        <row r="13">
          <cell r="A13" t="str">
            <v>EU</v>
          </cell>
        </row>
        <row r="14">
          <cell r="A14" t="str">
            <v>EU</v>
          </cell>
        </row>
        <row r="15">
          <cell r="A15" t="str">
            <v>EU</v>
          </cell>
        </row>
        <row r="16">
          <cell r="A16" t="str">
            <v>EU</v>
          </cell>
        </row>
        <row r="17">
          <cell r="A17" t="str">
            <v>EU</v>
          </cell>
        </row>
        <row r="18">
          <cell r="A18" t="str">
            <v>EU</v>
          </cell>
        </row>
        <row r="19">
          <cell r="A19" t="str">
            <v>EU</v>
          </cell>
        </row>
        <row r="20">
          <cell r="A20" t="str">
            <v>EU</v>
          </cell>
        </row>
        <row r="21">
          <cell r="A21" t="str">
            <v>EU</v>
          </cell>
        </row>
        <row r="22">
          <cell r="A22" t="str">
            <v>EU</v>
          </cell>
        </row>
        <row r="23">
          <cell r="A23" t="str">
            <v>EU</v>
          </cell>
        </row>
        <row r="24">
          <cell r="A24" t="str">
            <v>EU</v>
          </cell>
        </row>
        <row r="25">
          <cell r="A25" t="str">
            <v>EU</v>
          </cell>
        </row>
        <row r="26">
          <cell r="A26" t="str">
            <v>EU</v>
          </cell>
        </row>
        <row r="27">
          <cell r="A27" t="str">
            <v>EU</v>
          </cell>
        </row>
        <row r="28">
          <cell r="A28" t="str">
            <v>EU</v>
          </cell>
        </row>
        <row r="29">
          <cell r="A29" t="str">
            <v>EU</v>
          </cell>
        </row>
        <row r="30">
          <cell r="A30" t="str">
            <v>EU</v>
          </cell>
        </row>
        <row r="31">
          <cell r="A31" t="str">
            <v>EU</v>
          </cell>
        </row>
        <row r="32">
          <cell r="A32" t="str">
            <v>EU</v>
          </cell>
        </row>
        <row r="33">
          <cell r="A33" t="str">
            <v>EU</v>
          </cell>
        </row>
        <row r="34">
          <cell r="A34" t="str">
            <v>EU</v>
          </cell>
        </row>
        <row r="35">
          <cell r="A35" t="str">
            <v>EU</v>
          </cell>
        </row>
        <row r="36">
          <cell r="A36" t="str">
            <v>EU</v>
          </cell>
        </row>
        <row r="37">
          <cell r="A37" t="str">
            <v>EU</v>
          </cell>
        </row>
        <row r="38">
          <cell r="A38" t="str">
            <v>EU</v>
          </cell>
        </row>
        <row r="39">
          <cell r="A39" t="str">
            <v>EU</v>
          </cell>
        </row>
        <row r="40">
          <cell r="A40" t="str">
            <v>EU</v>
          </cell>
        </row>
        <row r="41">
          <cell r="A41" t="str">
            <v>EU</v>
          </cell>
        </row>
        <row r="42">
          <cell r="A42" t="str">
            <v>EU</v>
          </cell>
        </row>
        <row r="43">
          <cell r="A43" t="str">
            <v>EU</v>
          </cell>
        </row>
        <row r="44">
          <cell r="A44" t="str">
            <v>EU</v>
          </cell>
        </row>
        <row r="45">
          <cell r="A45" t="str">
            <v>LA</v>
          </cell>
        </row>
        <row r="46">
          <cell r="A46" t="str">
            <v>LA</v>
          </cell>
        </row>
        <row r="47">
          <cell r="A47" t="str">
            <v>LA</v>
          </cell>
        </row>
        <row r="48">
          <cell r="A48" t="str">
            <v>LA</v>
          </cell>
        </row>
        <row r="49">
          <cell r="A49" t="str">
            <v>LA</v>
          </cell>
        </row>
        <row r="50">
          <cell r="A50" t="str">
            <v>LA</v>
          </cell>
        </row>
        <row r="51">
          <cell r="A51" t="str">
            <v>LA</v>
          </cell>
        </row>
        <row r="52">
          <cell r="A52" t="str">
            <v>LA</v>
          </cell>
        </row>
        <row r="53">
          <cell r="A53" t="str">
            <v>LA</v>
          </cell>
        </row>
        <row r="54">
          <cell r="A54" t="str">
            <v>AS</v>
          </cell>
        </row>
        <row r="55">
          <cell r="A55" t="str">
            <v>AS</v>
          </cell>
        </row>
        <row r="56">
          <cell r="A56" t="str">
            <v>AS</v>
          </cell>
        </row>
        <row r="57">
          <cell r="A57" t="str">
            <v>AS</v>
          </cell>
        </row>
        <row r="58">
          <cell r="A58" t="str">
            <v>AS</v>
          </cell>
        </row>
        <row r="59">
          <cell r="A59" t="str">
            <v>AS</v>
          </cell>
        </row>
        <row r="60">
          <cell r="A60" t="str">
            <v>AS</v>
          </cell>
        </row>
        <row r="61">
          <cell r="A61" t="str">
            <v>AS</v>
          </cell>
        </row>
        <row r="62">
          <cell r="A62" t="str">
            <v>AS</v>
          </cell>
        </row>
        <row r="63">
          <cell r="A63" t="str">
            <v>AS</v>
          </cell>
        </row>
        <row r="64">
          <cell r="A64" t="str">
            <v>AS</v>
          </cell>
        </row>
        <row r="65">
          <cell r="A65" t="str">
            <v>AS</v>
          </cell>
        </row>
        <row r="66">
          <cell r="A66" t="str">
            <v>AS</v>
          </cell>
        </row>
        <row r="67">
          <cell r="A67" t="str">
            <v>AS</v>
          </cell>
        </row>
        <row r="68">
          <cell r="A68" t="str">
            <v>AS</v>
          </cell>
        </row>
        <row r="69">
          <cell r="A69" t="str">
            <v>AF</v>
          </cell>
        </row>
        <row r="70">
          <cell r="A70" t="str">
            <v>AF</v>
          </cell>
        </row>
        <row r="71">
          <cell r="A71" t="str">
            <v>AF</v>
          </cell>
        </row>
        <row r="72">
          <cell r="A72" t="str">
            <v>AF</v>
          </cell>
        </row>
        <row r="73">
          <cell r="A73" t="str">
            <v>AF</v>
          </cell>
        </row>
        <row r="74">
          <cell r="A74" t="str">
            <v>AF</v>
          </cell>
        </row>
        <row r="75">
          <cell r="A75" t="str">
            <v>AF</v>
          </cell>
        </row>
        <row r="76">
          <cell r="A76" t="str">
            <v>AF</v>
          </cell>
        </row>
        <row r="77">
          <cell r="A77" t="str">
            <v>AF</v>
          </cell>
        </row>
        <row r="78">
          <cell r="A78" t="str">
            <v>AF</v>
          </cell>
        </row>
        <row r="79">
          <cell r="A79" t="str">
            <v>AF</v>
          </cell>
        </row>
        <row r="80">
          <cell r="A80" t="str">
            <v>AF</v>
          </cell>
        </row>
        <row r="81">
          <cell r="A81" t="str">
            <v>AF</v>
          </cell>
        </row>
        <row r="82">
          <cell r="A82" t="str">
            <v>AF</v>
          </cell>
        </row>
        <row r="83">
          <cell r="A83" t="str">
            <v>AF</v>
          </cell>
        </row>
        <row r="84">
          <cell r="A84" t="str">
            <v>AF</v>
          </cell>
        </row>
        <row r="85">
          <cell r="A85" t="str">
            <v>AF</v>
          </cell>
        </row>
        <row r="86">
          <cell r="A86" t="str">
            <v>AF</v>
          </cell>
        </row>
        <row r="87">
          <cell r="A87" t="str">
            <v>AF</v>
          </cell>
        </row>
        <row r="88">
          <cell r="A88" t="str">
            <v>AF</v>
          </cell>
        </row>
        <row r="89">
          <cell r="A89" t="str">
            <v>AF</v>
          </cell>
        </row>
        <row r="90">
          <cell r="A90" t="str">
            <v>SA</v>
          </cell>
        </row>
        <row r="91">
          <cell r="A91" t="str">
            <v>SA</v>
          </cell>
        </row>
        <row r="92">
          <cell r="A92" t="str">
            <v>SA</v>
          </cell>
        </row>
        <row r="93">
          <cell r="A93" t="str">
            <v>SA</v>
          </cell>
        </row>
        <row r="94">
          <cell r="A94" t="str">
            <v>SA</v>
          </cell>
        </row>
        <row r="95">
          <cell r="A95" t="str">
            <v>SA</v>
          </cell>
        </row>
        <row r="96">
          <cell r="A96" t="str">
            <v>SA</v>
          </cell>
        </row>
        <row r="97">
          <cell r="A97" t="str">
            <v>SA</v>
          </cell>
        </row>
        <row r="98">
          <cell r="A98" t="str">
            <v>SA</v>
          </cell>
        </row>
        <row r="99">
          <cell r="A99" t="str">
            <v>SA</v>
          </cell>
        </row>
        <row r="100">
          <cell r="A100" t="str">
            <v>SA</v>
          </cell>
        </row>
        <row r="101">
          <cell r="A101" t="str">
            <v>SA</v>
          </cell>
        </row>
        <row r="102">
          <cell r="A102" t="str">
            <v>SA</v>
          </cell>
        </row>
        <row r="103">
          <cell r="A103" t="str">
            <v>MENA</v>
          </cell>
        </row>
        <row r="104">
          <cell r="A104" t="str">
            <v>MENA</v>
          </cell>
        </row>
        <row r="105">
          <cell r="A105" t="str">
            <v>MENA</v>
          </cell>
        </row>
        <row r="106">
          <cell r="A106" t="str">
            <v>MENA</v>
          </cell>
        </row>
        <row r="107">
          <cell r="A107" t="str">
            <v>MENA</v>
          </cell>
        </row>
        <row r="108">
          <cell r="A108" t="str">
            <v>MENA</v>
          </cell>
        </row>
        <row r="109">
          <cell r="A109" t="str">
            <v>MENA</v>
          </cell>
        </row>
        <row r="110">
          <cell r="A110" t="str">
            <v>MENA</v>
          </cell>
        </row>
        <row r="111">
          <cell r="A111" t="str">
            <v>MENA</v>
          </cell>
        </row>
        <row r="112">
          <cell r="A112" t="str">
            <v>MENA</v>
          </cell>
        </row>
        <row r="113">
          <cell r="A113" t="str">
            <v>MENA</v>
          </cell>
        </row>
        <row r="114">
          <cell r="A114" t="str">
            <v>MENA</v>
          </cell>
        </row>
        <row r="115">
          <cell r="A115" t="str">
            <v>MENA</v>
          </cell>
        </row>
        <row r="116">
          <cell r="A116" t="str">
            <v>MENA</v>
          </cell>
        </row>
        <row r="117">
          <cell r="A117" t="str">
            <v>MENA</v>
          </cell>
        </row>
      </sheetData>
      <sheetData sheetId="6" refreshError="1">
        <row r="1">
          <cell r="A1">
            <v>0</v>
          </cell>
        </row>
        <row r="2">
          <cell r="A2">
            <v>0</v>
          </cell>
        </row>
        <row r="3">
          <cell r="A3">
            <v>0</v>
          </cell>
        </row>
        <row r="4">
          <cell r="A4" t="str">
            <v>EU</v>
          </cell>
        </row>
        <row r="5">
          <cell r="A5" t="str">
            <v>EU</v>
          </cell>
        </row>
        <row r="6">
          <cell r="A6" t="str">
            <v>EU</v>
          </cell>
        </row>
        <row r="7">
          <cell r="A7" t="str">
            <v>EU</v>
          </cell>
        </row>
        <row r="8">
          <cell r="A8" t="str">
            <v>EU</v>
          </cell>
        </row>
        <row r="9">
          <cell r="A9" t="str">
            <v>EU</v>
          </cell>
        </row>
        <row r="10">
          <cell r="A10" t="str">
            <v>EU</v>
          </cell>
        </row>
        <row r="11">
          <cell r="A11" t="str">
            <v>EU</v>
          </cell>
        </row>
        <row r="12">
          <cell r="A12" t="str">
            <v>EU</v>
          </cell>
        </row>
        <row r="13">
          <cell r="A13" t="str">
            <v>EU</v>
          </cell>
        </row>
        <row r="14">
          <cell r="A14" t="str">
            <v>EU</v>
          </cell>
        </row>
        <row r="15">
          <cell r="A15" t="str">
            <v>EU</v>
          </cell>
        </row>
        <row r="16">
          <cell r="A16" t="str">
            <v>EU</v>
          </cell>
        </row>
        <row r="17">
          <cell r="A17" t="str">
            <v>EU</v>
          </cell>
        </row>
        <row r="18">
          <cell r="A18" t="str">
            <v>EU</v>
          </cell>
        </row>
        <row r="19">
          <cell r="A19" t="str">
            <v>EU</v>
          </cell>
        </row>
        <row r="20">
          <cell r="A20" t="str">
            <v>EU</v>
          </cell>
        </row>
        <row r="21">
          <cell r="A21" t="str">
            <v>EU</v>
          </cell>
        </row>
        <row r="22">
          <cell r="A22" t="str">
            <v>EU</v>
          </cell>
        </row>
        <row r="23">
          <cell r="A23" t="str">
            <v>EU</v>
          </cell>
        </row>
        <row r="24">
          <cell r="A24" t="str">
            <v>EU</v>
          </cell>
        </row>
        <row r="25">
          <cell r="A25" t="str">
            <v>EU</v>
          </cell>
        </row>
        <row r="26">
          <cell r="A26" t="str">
            <v>EU</v>
          </cell>
        </row>
        <row r="27">
          <cell r="A27" t="str">
            <v>EU</v>
          </cell>
        </row>
        <row r="28">
          <cell r="A28" t="str">
            <v>EU</v>
          </cell>
        </row>
        <row r="29">
          <cell r="A29" t="str">
            <v>EU</v>
          </cell>
        </row>
        <row r="30">
          <cell r="A30" t="str">
            <v>EU</v>
          </cell>
        </row>
        <row r="31">
          <cell r="A31" t="str">
            <v>EU</v>
          </cell>
        </row>
        <row r="32">
          <cell r="A32" t="str">
            <v>EU</v>
          </cell>
        </row>
        <row r="33">
          <cell r="A33" t="str">
            <v>EU</v>
          </cell>
        </row>
        <row r="34">
          <cell r="A34" t="str">
            <v>EU</v>
          </cell>
        </row>
        <row r="35">
          <cell r="A35" t="str">
            <v>EU</v>
          </cell>
        </row>
        <row r="36">
          <cell r="A36" t="str">
            <v>EU</v>
          </cell>
        </row>
        <row r="37">
          <cell r="A37" t="str">
            <v>EU</v>
          </cell>
        </row>
        <row r="38">
          <cell r="A38" t="str">
            <v>EU</v>
          </cell>
        </row>
        <row r="39">
          <cell r="A39" t="str">
            <v>EU</v>
          </cell>
        </row>
        <row r="40">
          <cell r="A40" t="str">
            <v>EU</v>
          </cell>
        </row>
        <row r="41">
          <cell r="A41" t="str">
            <v>EU</v>
          </cell>
        </row>
        <row r="42">
          <cell r="A42" t="str">
            <v>EU</v>
          </cell>
        </row>
        <row r="43">
          <cell r="A43" t="str">
            <v>EU</v>
          </cell>
        </row>
        <row r="44">
          <cell r="A44" t="str">
            <v>EU</v>
          </cell>
        </row>
        <row r="45">
          <cell r="A45" t="str">
            <v>LA</v>
          </cell>
        </row>
        <row r="46">
          <cell r="A46" t="str">
            <v>LA</v>
          </cell>
        </row>
        <row r="47">
          <cell r="A47" t="str">
            <v>LA</v>
          </cell>
        </row>
        <row r="48">
          <cell r="A48" t="str">
            <v>LA</v>
          </cell>
        </row>
        <row r="49">
          <cell r="A49" t="str">
            <v>LA</v>
          </cell>
        </row>
        <row r="50">
          <cell r="A50" t="str">
            <v>LA</v>
          </cell>
        </row>
        <row r="51">
          <cell r="A51" t="str">
            <v>LA</v>
          </cell>
        </row>
        <row r="52">
          <cell r="A52" t="str">
            <v>LA</v>
          </cell>
        </row>
        <row r="53">
          <cell r="A53" t="str">
            <v>LA</v>
          </cell>
        </row>
        <row r="54">
          <cell r="A54" t="str">
            <v>AS</v>
          </cell>
        </row>
        <row r="55">
          <cell r="A55" t="str">
            <v>AS</v>
          </cell>
        </row>
        <row r="56">
          <cell r="A56" t="str">
            <v>AS</v>
          </cell>
        </row>
        <row r="57">
          <cell r="A57" t="str">
            <v>AS</v>
          </cell>
        </row>
        <row r="58">
          <cell r="A58" t="str">
            <v>AS</v>
          </cell>
        </row>
        <row r="59">
          <cell r="A59" t="str">
            <v>AS</v>
          </cell>
        </row>
        <row r="60">
          <cell r="A60" t="str">
            <v>AS</v>
          </cell>
        </row>
        <row r="61">
          <cell r="A61" t="str">
            <v>AS</v>
          </cell>
        </row>
        <row r="62">
          <cell r="A62" t="str">
            <v>AS</v>
          </cell>
        </row>
        <row r="63">
          <cell r="A63" t="str">
            <v>AS</v>
          </cell>
        </row>
        <row r="64">
          <cell r="A64" t="str">
            <v>AS</v>
          </cell>
        </row>
        <row r="65">
          <cell r="A65" t="str">
            <v>AS</v>
          </cell>
        </row>
        <row r="66">
          <cell r="A66" t="str">
            <v>AS</v>
          </cell>
        </row>
        <row r="67">
          <cell r="A67" t="str">
            <v>AS</v>
          </cell>
        </row>
        <row r="68">
          <cell r="A68" t="str">
            <v>AS</v>
          </cell>
        </row>
        <row r="69">
          <cell r="A69" t="str">
            <v>AF</v>
          </cell>
        </row>
        <row r="70">
          <cell r="A70" t="str">
            <v>AF</v>
          </cell>
        </row>
        <row r="71">
          <cell r="A71" t="str">
            <v>AF</v>
          </cell>
        </row>
        <row r="72">
          <cell r="A72" t="str">
            <v>AF</v>
          </cell>
        </row>
        <row r="73">
          <cell r="A73" t="str">
            <v>AF</v>
          </cell>
        </row>
        <row r="74">
          <cell r="A74" t="str">
            <v>AF</v>
          </cell>
        </row>
        <row r="75">
          <cell r="A75" t="str">
            <v>AF</v>
          </cell>
        </row>
        <row r="76">
          <cell r="A76" t="str">
            <v>AF</v>
          </cell>
        </row>
        <row r="77">
          <cell r="A77" t="str">
            <v>AF</v>
          </cell>
        </row>
        <row r="78">
          <cell r="A78" t="str">
            <v>AF</v>
          </cell>
        </row>
        <row r="79">
          <cell r="A79" t="str">
            <v>AF</v>
          </cell>
        </row>
        <row r="80">
          <cell r="A80" t="str">
            <v>AF</v>
          </cell>
        </row>
        <row r="81">
          <cell r="A81" t="str">
            <v>AF</v>
          </cell>
        </row>
        <row r="82">
          <cell r="A82" t="str">
            <v>AF</v>
          </cell>
        </row>
        <row r="83">
          <cell r="A83" t="str">
            <v>AF</v>
          </cell>
        </row>
        <row r="84">
          <cell r="A84" t="str">
            <v>AF</v>
          </cell>
        </row>
        <row r="85">
          <cell r="A85" t="str">
            <v>AF</v>
          </cell>
        </row>
        <row r="86">
          <cell r="A86" t="str">
            <v>AF</v>
          </cell>
        </row>
        <row r="87">
          <cell r="A87" t="str">
            <v>AF</v>
          </cell>
        </row>
        <row r="88">
          <cell r="A88" t="str">
            <v>AF</v>
          </cell>
        </row>
        <row r="89">
          <cell r="A89" t="str">
            <v>AF</v>
          </cell>
        </row>
        <row r="90">
          <cell r="A90" t="str">
            <v>SA</v>
          </cell>
        </row>
        <row r="91">
          <cell r="A91" t="str">
            <v>SA</v>
          </cell>
        </row>
        <row r="92">
          <cell r="A92" t="str">
            <v>SA</v>
          </cell>
        </row>
        <row r="93">
          <cell r="A93" t="str">
            <v>SA</v>
          </cell>
        </row>
        <row r="94">
          <cell r="A94" t="str">
            <v>SA</v>
          </cell>
        </row>
        <row r="95">
          <cell r="A95" t="str">
            <v>SA</v>
          </cell>
        </row>
        <row r="96">
          <cell r="A96" t="str">
            <v>SA</v>
          </cell>
        </row>
        <row r="97">
          <cell r="A97" t="str">
            <v>SA</v>
          </cell>
        </row>
        <row r="98">
          <cell r="A98" t="str">
            <v>SA</v>
          </cell>
        </row>
        <row r="99">
          <cell r="A99" t="str">
            <v>SA</v>
          </cell>
        </row>
        <row r="100">
          <cell r="A100" t="str">
            <v>SA</v>
          </cell>
        </row>
        <row r="101">
          <cell r="A101" t="str">
            <v>SA</v>
          </cell>
        </row>
        <row r="102">
          <cell r="A102" t="str">
            <v>SA</v>
          </cell>
        </row>
        <row r="103">
          <cell r="A103" t="str">
            <v>MENA</v>
          </cell>
        </row>
        <row r="104">
          <cell r="A104" t="str">
            <v>MENA</v>
          </cell>
        </row>
        <row r="105">
          <cell r="A105" t="str">
            <v>MENA</v>
          </cell>
        </row>
        <row r="106">
          <cell r="A106" t="str">
            <v>MENA</v>
          </cell>
        </row>
        <row r="107">
          <cell r="A107" t="str">
            <v>MENA</v>
          </cell>
        </row>
        <row r="108">
          <cell r="A108" t="str">
            <v>MENA</v>
          </cell>
        </row>
        <row r="109">
          <cell r="A109" t="str">
            <v>MENA</v>
          </cell>
        </row>
        <row r="110">
          <cell r="A110" t="str">
            <v>MENA</v>
          </cell>
        </row>
        <row r="111">
          <cell r="A111" t="str">
            <v>MENA</v>
          </cell>
        </row>
        <row r="112">
          <cell r="A112" t="str">
            <v>MENA</v>
          </cell>
        </row>
        <row r="113">
          <cell r="A113" t="str">
            <v>MENA</v>
          </cell>
        </row>
        <row r="114">
          <cell r="A114" t="str">
            <v>MENA</v>
          </cell>
        </row>
        <row r="115">
          <cell r="A115" t="str">
            <v>MENA</v>
          </cell>
        </row>
        <row r="116">
          <cell r="A116" t="str">
            <v>MENA</v>
          </cell>
        </row>
        <row r="117">
          <cell r="A117" t="str">
            <v>MENA</v>
          </cell>
        </row>
      </sheetData>
      <sheetData sheetId="7">
        <row r="1">
          <cell r="A1">
            <v>0</v>
          </cell>
        </row>
      </sheetData>
      <sheetData sheetId="8" refreshError="1"/>
      <sheetData sheetId="9">
        <row r="2">
          <cell r="A2" t="str">
            <v>ichroma Reader</v>
          </cell>
        </row>
      </sheetData>
      <sheetData sheetId="10" refreshError="1"/>
      <sheetData sheetId="11">
        <row r="1">
          <cell r="B1" t="str">
            <v>Country</v>
          </cell>
          <cell r="E1" t="str">
            <v>Company</v>
          </cell>
        </row>
        <row r="2">
          <cell r="B2" t="str">
            <v>Greece</v>
          </cell>
          <cell r="E2" t="str">
            <v>Labindustrias S.A.</v>
          </cell>
        </row>
        <row r="3">
          <cell r="B3" t="str">
            <v>The Netherlands</v>
          </cell>
          <cell r="E3" t="str">
            <v>MUREX Diagnostic Products Specialists</v>
          </cell>
        </row>
        <row r="4">
          <cell r="B4" t="str">
            <v>Germany</v>
          </cell>
          <cell r="E4" t="str">
            <v>ADVANCE TECHNOLOGIES &amp; LABORATORY EQUIPMENT SERVICE, INC.</v>
          </cell>
        </row>
        <row r="5">
          <cell r="B5" t="str">
            <v>Romania</v>
          </cell>
        </row>
        <row r="6">
          <cell r="B6" t="str">
            <v>Lithuania</v>
          </cell>
        </row>
        <row r="7">
          <cell r="B7" t="str">
            <v>Macedonia</v>
          </cell>
        </row>
        <row r="8">
          <cell r="B8" t="str">
            <v>Belgium</v>
          </cell>
        </row>
        <row r="9">
          <cell r="B9" t="str">
            <v>Bosnia &amp; Herzegovina</v>
          </cell>
        </row>
        <row r="10">
          <cell r="B10" t="str">
            <v>Bulgaria</v>
          </cell>
        </row>
        <row r="11">
          <cell r="B11" t="str">
            <v>Sweden</v>
          </cell>
        </row>
        <row r="12">
          <cell r="B12" t="str">
            <v>Switzerland</v>
          </cell>
        </row>
        <row r="13">
          <cell r="B13" t="str">
            <v>Spain</v>
          </cell>
        </row>
        <row r="14">
          <cell r="B14" t="str">
            <v>Slovakia</v>
          </cell>
        </row>
        <row r="15">
          <cell r="B15" t="str">
            <v>Slovenia</v>
          </cell>
        </row>
        <row r="16">
          <cell r="B16" t="str">
            <v xml:space="preserve">Albania </v>
          </cell>
        </row>
        <row r="17">
          <cell r="B17" t="str">
            <v>Kosovo</v>
          </cell>
        </row>
        <row r="18">
          <cell r="B18" t="str">
            <v>United Kingdom</v>
          </cell>
        </row>
        <row r="19">
          <cell r="B19" t="str">
            <v>Austria</v>
          </cell>
        </row>
        <row r="20">
          <cell r="B20" t="str">
            <v>Italy</v>
          </cell>
        </row>
        <row r="21">
          <cell r="B21" t="str">
            <v>Czech Republic</v>
          </cell>
        </row>
        <row r="22">
          <cell r="B22" t="str">
            <v>Portugal</v>
          </cell>
        </row>
        <row r="23">
          <cell r="B23" t="str">
            <v>Poland</v>
          </cell>
        </row>
        <row r="24">
          <cell r="B24" t="str">
            <v>France</v>
          </cell>
        </row>
        <row r="25">
          <cell r="B25" t="str">
            <v>Hungary</v>
          </cell>
        </row>
        <row r="26">
          <cell r="B26" t="str">
            <v>Cyprus</v>
          </cell>
        </row>
        <row r="27">
          <cell r="B27" t="str">
            <v>Serbia</v>
          </cell>
        </row>
        <row r="28">
          <cell r="B28" t="str">
            <v>Ukraine</v>
          </cell>
        </row>
        <row r="29">
          <cell r="B29" t="str">
            <v>Republic of Kazakstan</v>
          </cell>
        </row>
        <row r="30">
          <cell r="B30" t="str">
            <v>Guyana</v>
          </cell>
        </row>
        <row r="31">
          <cell r="B31" t="str">
            <v>Guatemala</v>
          </cell>
        </row>
        <row r="32">
          <cell r="B32" t="str">
            <v>Dominican Republic</v>
          </cell>
        </row>
        <row r="33">
          <cell r="B33" t="str">
            <v>Mexico</v>
          </cell>
        </row>
        <row r="34">
          <cell r="B34" t="str">
            <v>Brazil</v>
          </cell>
        </row>
        <row r="35">
          <cell r="B35" t="str">
            <v>Ecuador</v>
          </cell>
        </row>
        <row r="36">
          <cell r="B36" t="str">
            <v>Chile</v>
          </cell>
        </row>
        <row r="37">
          <cell r="B37" t="str">
            <v>Colombia</v>
          </cell>
        </row>
        <row r="38">
          <cell r="B38" t="str">
            <v>Indonesia</v>
          </cell>
        </row>
        <row r="39">
          <cell r="B39" t="str">
            <v>Philippines</v>
          </cell>
        </row>
        <row r="40">
          <cell r="B40" t="str">
            <v>Myanmar</v>
          </cell>
        </row>
        <row r="41">
          <cell r="B41" t="str">
            <v>Thailand</v>
          </cell>
        </row>
        <row r="42">
          <cell r="B42" t="str">
            <v>Cambodia</v>
          </cell>
        </row>
        <row r="43">
          <cell r="B43" t="str">
            <v>Vietnam</v>
          </cell>
        </row>
        <row r="44">
          <cell r="B44" t="str">
            <v>Malaysia</v>
          </cell>
        </row>
        <row r="45">
          <cell r="B45" t="str">
            <v>Australia</v>
          </cell>
        </row>
        <row r="46">
          <cell r="B46" t="str">
            <v>New Zealand</v>
          </cell>
        </row>
        <row r="47">
          <cell r="B47" t="str">
            <v>Benin</v>
          </cell>
        </row>
        <row r="48">
          <cell r="B48" t="str">
            <v>Burkina Faso</v>
          </cell>
        </row>
        <row r="49">
          <cell r="B49" t="str">
            <v>Cameroon</v>
          </cell>
        </row>
        <row r="50">
          <cell r="B50" t="str">
            <v>Cote d'Ivoire</v>
          </cell>
        </row>
        <row r="51">
          <cell r="B51" t="str">
            <v>DR Congo (Kinshasa)</v>
          </cell>
        </row>
        <row r="52">
          <cell r="B52" t="str">
            <v>Addis Ababa Airport</v>
          </cell>
        </row>
        <row r="53">
          <cell r="B53" t="str">
            <v>Ghana</v>
          </cell>
        </row>
        <row r="54">
          <cell r="B54" t="str">
            <v>Kenya</v>
          </cell>
        </row>
        <row r="55">
          <cell r="B55" t="str">
            <v>Monrovia, Liberia</v>
          </cell>
        </row>
        <row r="56">
          <cell r="B56" t="str">
            <v>Mali</v>
          </cell>
        </row>
        <row r="57">
          <cell r="B57" t="str">
            <v>Republic of Mauritius</v>
          </cell>
        </row>
        <row r="58">
          <cell r="B58" t="str">
            <v>Mozambique</v>
          </cell>
        </row>
        <row r="59">
          <cell r="B59" t="str">
            <v>Niger</v>
          </cell>
        </row>
        <row r="60">
          <cell r="B60" t="str">
            <v>Nigeria</v>
          </cell>
        </row>
        <row r="61">
          <cell r="B61" t="str">
            <v>Somalia(via Djibouti)</v>
          </cell>
        </row>
        <row r="62">
          <cell r="B62" t="str">
            <v>South Africa</v>
          </cell>
        </row>
        <row r="63">
          <cell r="B63" t="str">
            <v>Tanzania</v>
          </cell>
        </row>
        <row r="64">
          <cell r="B64" t="str">
            <v>Uganda</v>
          </cell>
        </row>
        <row r="65">
          <cell r="B65" t="str">
            <v>Zambia</v>
          </cell>
        </row>
        <row r="66">
          <cell r="B66" t="str">
            <v>Zimbabwe</v>
          </cell>
        </row>
        <row r="67">
          <cell r="B67" t="str">
            <v>Mumbai, India</v>
          </cell>
        </row>
        <row r="68">
          <cell r="B68" t="str">
            <v>Nepal</v>
          </cell>
        </row>
        <row r="69">
          <cell r="B69" t="str">
            <v>India</v>
          </cell>
        </row>
        <row r="70">
          <cell r="B70" t="str">
            <v>Pakistan</v>
          </cell>
        </row>
        <row r="71">
          <cell r="B71" t="str">
            <v>Bangladesh</v>
          </cell>
        </row>
        <row r="72">
          <cell r="B72" t="str">
            <v>Hyderabad, India</v>
          </cell>
        </row>
        <row r="73">
          <cell r="B73" t="str">
            <v>Delhi airport in India</v>
          </cell>
        </row>
        <row r="74">
          <cell r="B74" t="str">
            <v>Kolkata airport in India</v>
          </cell>
        </row>
        <row r="75">
          <cell r="B75" t="str">
            <v>Sri Lanka</v>
          </cell>
        </row>
        <row r="76">
          <cell r="B76" t="str">
            <v>Mongolia</v>
          </cell>
        </row>
        <row r="77">
          <cell r="B77" t="str">
            <v>Afghanistan</v>
          </cell>
        </row>
        <row r="78">
          <cell r="B78" t="str">
            <v>Bahrain</v>
          </cell>
        </row>
        <row r="79">
          <cell r="B79" t="str">
            <v>Iran</v>
          </cell>
        </row>
        <row r="80">
          <cell r="B80" t="str">
            <v>Iraq</v>
          </cell>
        </row>
        <row r="81">
          <cell r="B81" t="str">
            <v>Jordan</v>
          </cell>
        </row>
        <row r="82">
          <cell r="B82" t="str">
            <v>Lebanon</v>
          </cell>
        </row>
        <row r="83">
          <cell r="B83" t="str">
            <v>Morocco</v>
          </cell>
        </row>
        <row r="84">
          <cell r="B84" t="str">
            <v>Palestine</v>
          </cell>
        </row>
        <row r="85">
          <cell r="B85" t="str">
            <v>Qatar</v>
          </cell>
        </row>
        <row r="86">
          <cell r="B86" t="str">
            <v>Sudan</v>
          </cell>
        </row>
        <row r="87">
          <cell r="B87" t="str">
            <v>Syria</v>
          </cell>
        </row>
        <row r="88">
          <cell r="B88" t="str">
            <v>Tunisia</v>
          </cell>
        </row>
        <row r="89">
          <cell r="B89" t="str">
            <v>Turkey</v>
          </cell>
        </row>
        <row r="90">
          <cell r="B90" t="str">
            <v>UAE</v>
          </cell>
        </row>
        <row r="91">
          <cell r="B9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16A06-ECC1-45A1-9B43-4C6CF9AB5678}">
  <sheetPr>
    <pageSetUpPr fitToPage="1"/>
  </sheetPr>
  <dimension ref="A1:I149"/>
  <sheetViews>
    <sheetView topLeftCell="A16" zoomScale="87" zoomScaleNormal="87" zoomScaleSheetLayoutView="100" workbookViewId="0">
      <selection activeCell="C26" sqref="C26"/>
    </sheetView>
  </sheetViews>
  <sheetFormatPr defaultColWidth="7.875" defaultRowHeight="16.5" x14ac:dyDescent="0.3"/>
  <cols>
    <col min="1" max="1" width="5.25" style="2" customWidth="1"/>
    <col min="2" max="2" width="14.875" style="2" customWidth="1"/>
    <col min="3" max="3" width="28" style="2" customWidth="1"/>
    <col min="4" max="4" width="13.375" style="2" customWidth="1"/>
    <col min="5" max="5" width="9.375" style="2" customWidth="1"/>
    <col min="6" max="6" width="12.75" style="2" customWidth="1"/>
    <col min="7" max="7" width="13.5" style="2" customWidth="1"/>
    <col min="8" max="8" width="6.875" style="11" customWidth="1"/>
    <col min="9" max="9" width="7.75" style="12" customWidth="1"/>
    <col min="10" max="16384" width="7.875" style="13"/>
  </cols>
  <sheetData>
    <row r="1" spans="1:7" ht="26.25" x14ac:dyDescent="0.3">
      <c r="A1" s="1"/>
      <c r="G1" s="1" t="s">
        <v>144</v>
      </c>
    </row>
    <row r="2" spans="1:7" x14ac:dyDescent="0.3">
      <c r="A2" s="3"/>
      <c r="G2" s="3" t="s">
        <v>0</v>
      </c>
    </row>
    <row r="3" spans="1:7" ht="14.25" customHeight="1" x14ac:dyDescent="0.3">
      <c r="A3" s="3"/>
      <c r="F3" s="185" t="s">
        <v>1</v>
      </c>
      <c r="G3" s="185"/>
    </row>
    <row r="4" spans="1:7" x14ac:dyDescent="0.3">
      <c r="A4" s="4"/>
      <c r="G4" s="4" t="s">
        <v>41</v>
      </c>
    </row>
    <row r="5" spans="1:7" x14ac:dyDescent="0.3">
      <c r="A5" s="4"/>
      <c r="G5" s="4" t="s">
        <v>42</v>
      </c>
    </row>
    <row r="6" spans="1:7" x14ac:dyDescent="0.3">
      <c r="A6" s="4"/>
      <c r="G6" s="4" t="s">
        <v>2</v>
      </c>
    </row>
    <row r="7" spans="1:7" x14ac:dyDescent="0.3">
      <c r="A7" s="5"/>
      <c r="G7" s="6" t="s">
        <v>145</v>
      </c>
    </row>
    <row r="8" spans="1:7" ht="3" customHeight="1" thickBot="1" x14ac:dyDescent="0.35">
      <c r="A8" s="7"/>
    </row>
    <row r="9" spans="1:7" ht="15.95" customHeight="1" x14ac:dyDescent="0.3">
      <c r="E9" s="186" t="s">
        <v>3</v>
      </c>
      <c r="F9" s="187"/>
      <c r="G9" s="8" t="s">
        <v>51</v>
      </c>
    </row>
    <row r="10" spans="1:7" ht="15.95" customHeight="1" thickBot="1" x14ac:dyDescent="0.35">
      <c r="E10" s="188" t="s">
        <v>4</v>
      </c>
      <c r="F10" s="189"/>
      <c r="G10" s="9">
        <v>46104</v>
      </c>
    </row>
    <row r="11" spans="1:7" ht="15.95" customHeight="1" x14ac:dyDescent="0.3">
      <c r="A11" s="190" t="s">
        <v>5</v>
      </c>
      <c r="B11" s="191"/>
      <c r="C11" s="191"/>
      <c r="D11" s="191" t="s">
        <v>6</v>
      </c>
      <c r="E11" s="191"/>
      <c r="F11" s="191"/>
      <c r="G11" s="192"/>
    </row>
    <row r="12" spans="1:7" ht="15.95" customHeight="1" x14ac:dyDescent="0.3">
      <c r="A12" s="193" t="s">
        <v>7</v>
      </c>
      <c r="B12" s="194"/>
      <c r="C12" s="194"/>
      <c r="D12" s="194" t="s">
        <v>8</v>
      </c>
      <c r="E12" s="194"/>
      <c r="F12" s="194"/>
      <c r="G12" s="195"/>
    </row>
    <row r="13" spans="1:7" ht="28.5" customHeight="1" x14ac:dyDescent="0.3">
      <c r="A13" s="196" t="s">
        <v>9</v>
      </c>
      <c r="B13" s="197"/>
      <c r="C13" s="197"/>
      <c r="D13" s="197" t="s">
        <v>43</v>
      </c>
      <c r="E13" s="197"/>
      <c r="F13" s="197"/>
      <c r="G13" s="198"/>
    </row>
    <row r="14" spans="1:7" ht="27.6" customHeight="1" x14ac:dyDescent="0.3">
      <c r="A14" s="199" t="s">
        <v>10</v>
      </c>
      <c r="B14" s="200"/>
      <c r="C14" s="200"/>
      <c r="D14" s="197"/>
      <c r="E14" s="197"/>
      <c r="F14" s="197"/>
      <c r="G14" s="198"/>
    </row>
    <row r="15" spans="1:7" ht="24" customHeight="1" thickBot="1" x14ac:dyDescent="0.35">
      <c r="A15" s="201" t="s">
        <v>11</v>
      </c>
      <c r="B15" s="202"/>
      <c r="C15" s="202"/>
      <c r="D15" s="203" t="s">
        <v>12</v>
      </c>
      <c r="E15" s="203"/>
      <c r="F15" s="203"/>
      <c r="G15" s="204"/>
    </row>
    <row r="16" spans="1:7" ht="7.15" customHeight="1" thickBot="1" x14ac:dyDescent="0.35">
      <c r="A16" s="10"/>
      <c r="E16" s="10"/>
    </row>
    <row r="17" spans="1:9" ht="15.95" customHeight="1" x14ac:dyDescent="0.3">
      <c r="A17" s="182" t="s">
        <v>13</v>
      </c>
      <c r="B17" s="183"/>
      <c r="C17" s="183"/>
      <c r="D17" s="183" t="s">
        <v>14</v>
      </c>
      <c r="E17" s="183"/>
      <c r="F17" s="183"/>
      <c r="G17" s="184"/>
    </row>
    <row r="18" spans="1:9" ht="15.95" customHeight="1" x14ac:dyDescent="0.3">
      <c r="A18" s="205" t="s">
        <v>52</v>
      </c>
      <c r="B18" s="206"/>
      <c r="C18" s="206"/>
      <c r="D18" s="207">
        <f>G10</f>
        <v>46104</v>
      </c>
      <c r="E18" s="207"/>
      <c r="F18" s="207"/>
      <c r="G18" s="208"/>
    </row>
    <row r="19" spans="1:9" ht="15.95" customHeight="1" x14ac:dyDescent="0.3">
      <c r="A19" s="209" t="s">
        <v>15</v>
      </c>
      <c r="B19" s="210"/>
      <c r="C19" s="210"/>
      <c r="D19" s="210" t="s">
        <v>16</v>
      </c>
      <c r="E19" s="210"/>
      <c r="F19" s="210"/>
      <c r="G19" s="211"/>
    </row>
    <row r="20" spans="1:9" ht="15.95" customHeight="1" x14ac:dyDescent="0.3">
      <c r="A20" s="205" t="s">
        <v>17</v>
      </c>
      <c r="B20" s="206"/>
      <c r="C20" s="206"/>
      <c r="D20" s="206" t="s">
        <v>146</v>
      </c>
      <c r="E20" s="206"/>
      <c r="F20" s="206"/>
      <c r="G20" s="212"/>
    </row>
    <row r="21" spans="1:9" ht="15.95" customHeight="1" x14ac:dyDescent="0.3">
      <c r="A21" s="209" t="s">
        <v>18</v>
      </c>
      <c r="B21" s="210"/>
      <c r="C21" s="210"/>
      <c r="D21" s="210" t="s">
        <v>19</v>
      </c>
      <c r="E21" s="210"/>
      <c r="F21" s="210"/>
      <c r="G21" s="211"/>
    </row>
    <row r="22" spans="1:9" ht="15.95" customHeight="1" thickBot="1" x14ac:dyDescent="0.35">
      <c r="A22" s="215" t="s">
        <v>20</v>
      </c>
      <c r="B22" s="216"/>
      <c r="C22" s="216"/>
      <c r="D22" s="217" t="s">
        <v>21</v>
      </c>
      <c r="E22" s="217"/>
      <c r="F22" s="217"/>
      <c r="G22" s="218"/>
    </row>
    <row r="23" spans="1:9" ht="6.4" customHeight="1" thickBot="1" x14ac:dyDescent="0.35">
      <c r="A23" s="14"/>
    </row>
    <row r="24" spans="1:9" ht="16.899999999999999" customHeight="1" x14ac:dyDescent="0.15">
      <c r="A24" s="219" t="s">
        <v>22</v>
      </c>
      <c r="B24" s="221" t="s">
        <v>23</v>
      </c>
      <c r="C24" s="221" t="s">
        <v>24</v>
      </c>
      <c r="D24" s="221" t="s">
        <v>25</v>
      </c>
      <c r="E24" s="221" t="s">
        <v>26</v>
      </c>
      <c r="F24" s="44" t="s">
        <v>27</v>
      </c>
      <c r="G24" s="45" t="s">
        <v>28</v>
      </c>
      <c r="H24" s="15"/>
      <c r="I24" s="16"/>
    </row>
    <row r="25" spans="1:9" ht="16.5" customHeight="1" x14ac:dyDescent="0.15">
      <c r="A25" s="220"/>
      <c r="B25" s="222"/>
      <c r="C25" s="222"/>
      <c r="D25" s="222"/>
      <c r="E25" s="222"/>
      <c r="F25" s="36" t="s">
        <v>29</v>
      </c>
      <c r="G25" s="46" t="s">
        <v>29</v>
      </c>
      <c r="H25" s="15"/>
      <c r="I25" s="16"/>
    </row>
    <row r="26" spans="1:9" ht="16.5" customHeight="1" x14ac:dyDescent="0.15">
      <c r="A26" s="47">
        <v>1</v>
      </c>
      <c r="B26" s="42" t="s">
        <v>53</v>
      </c>
      <c r="C26" s="42" t="s">
        <v>54</v>
      </c>
      <c r="D26" s="42" t="s">
        <v>46</v>
      </c>
      <c r="E26" s="41">
        <v>20</v>
      </c>
      <c r="F26" s="43">
        <v>30</v>
      </c>
      <c r="G26" s="48">
        <f>E26*F26</f>
        <v>600</v>
      </c>
      <c r="H26" s="15"/>
      <c r="I26" s="16"/>
    </row>
    <row r="27" spans="1:9" ht="16.5" customHeight="1" x14ac:dyDescent="0.15">
      <c r="A27" s="47">
        <v>2</v>
      </c>
      <c r="B27" s="42" t="s">
        <v>55</v>
      </c>
      <c r="C27" s="42" t="s">
        <v>56</v>
      </c>
      <c r="D27" s="42" t="s">
        <v>46</v>
      </c>
      <c r="E27" s="41">
        <v>40</v>
      </c>
      <c r="F27" s="43">
        <v>47</v>
      </c>
      <c r="G27" s="48">
        <f t="shared" ref="G27:G71" si="0">E27*F27</f>
        <v>1880</v>
      </c>
      <c r="H27" s="15"/>
      <c r="I27" s="16"/>
    </row>
    <row r="28" spans="1:9" ht="16.5" customHeight="1" x14ac:dyDescent="0.15">
      <c r="A28" s="47">
        <v>3</v>
      </c>
      <c r="B28" s="42" t="s">
        <v>57</v>
      </c>
      <c r="C28" s="42" t="s">
        <v>58</v>
      </c>
      <c r="D28" s="42" t="s">
        <v>46</v>
      </c>
      <c r="E28" s="41">
        <v>5</v>
      </c>
      <c r="F28" s="43">
        <v>42.5</v>
      </c>
      <c r="G28" s="48">
        <f t="shared" si="0"/>
        <v>212.5</v>
      </c>
      <c r="H28" s="15"/>
      <c r="I28" s="16"/>
    </row>
    <row r="29" spans="1:9" ht="16.5" customHeight="1" x14ac:dyDescent="0.15">
      <c r="A29" s="47">
        <v>4</v>
      </c>
      <c r="B29" s="42" t="s">
        <v>59</v>
      </c>
      <c r="C29" s="42" t="s">
        <v>60</v>
      </c>
      <c r="D29" s="42" t="s">
        <v>46</v>
      </c>
      <c r="E29" s="41">
        <v>10</v>
      </c>
      <c r="F29" s="43">
        <v>42.5</v>
      </c>
      <c r="G29" s="48">
        <f t="shared" si="0"/>
        <v>425</v>
      </c>
      <c r="H29" s="15"/>
      <c r="I29" s="16"/>
    </row>
    <row r="30" spans="1:9" ht="16.5" customHeight="1" x14ac:dyDescent="0.15">
      <c r="A30" s="47">
        <v>5</v>
      </c>
      <c r="B30" s="42" t="s">
        <v>61</v>
      </c>
      <c r="C30" s="42" t="s">
        <v>62</v>
      </c>
      <c r="D30" s="42" t="s">
        <v>46</v>
      </c>
      <c r="E30" s="41">
        <v>10</v>
      </c>
      <c r="F30" s="43">
        <v>40</v>
      </c>
      <c r="G30" s="48">
        <f t="shared" si="0"/>
        <v>400</v>
      </c>
      <c r="H30" s="15"/>
      <c r="I30" s="16"/>
    </row>
    <row r="31" spans="1:9" ht="16.5" customHeight="1" x14ac:dyDescent="0.15">
      <c r="A31" s="47">
        <v>6</v>
      </c>
      <c r="B31" s="42" t="s">
        <v>63</v>
      </c>
      <c r="C31" s="42" t="s">
        <v>64</v>
      </c>
      <c r="D31" s="42" t="s">
        <v>46</v>
      </c>
      <c r="E31" s="41">
        <v>2</v>
      </c>
      <c r="F31" s="43">
        <v>112.5</v>
      </c>
      <c r="G31" s="48">
        <f t="shared" si="0"/>
        <v>225</v>
      </c>
      <c r="H31" s="15"/>
      <c r="I31" s="16"/>
    </row>
    <row r="32" spans="1:9" ht="16.5" customHeight="1" x14ac:dyDescent="0.15">
      <c r="A32" s="47">
        <v>7</v>
      </c>
      <c r="B32" s="42" t="s">
        <v>65</v>
      </c>
      <c r="C32" s="42" t="s">
        <v>66</v>
      </c>
      <c r="D32" s="42" t="s">
        <v>46</v>
      </c>
      <c r="E32" s="41">
        <v>50</v>
      </c>
      <c r="F32" s="43">
        <v>47</v>
      </c>
      <c r="G32" s="48">
        <f t="shared" si="0"/>
        <v>2350</v>
      </c>
      <c r="H32" s="15"/>
      <c r="I32" s="16"/>
    </row>
    <row r="33" spans="1:9" ht="16.5" customHeight="1" x14ac:dyDescent="0.15">
      <c r="A33" s="47">
        <v>8</v>
      </c>
      <c r="B33" s="42" t="s">
        <v>44</v>
      </c>
      <c r="C33" s="42" t="s">
        <v>47</v>
      </c>
      <c r="D33" s="42" t="s">
        <v>46</v>
      </c>
      <c r="E33" s="41">
        <v>100</v>
      </c>
      <c r="F33" s="43">
        <v>62.5</v>
      </c>
      <c r="G33" s="48">
        <f t="shared" si="0"/>
        <v>6250</v>
      </c>
      <c r="H33" s="15"/>
      <c r="I33" s="16"/>
    </row>
    <row r="34" spans="1:9" ht="16.5" customHeight="1" x14ac:dyDescent="0.15">
      <c r="A34" s="47">
        <v>9</v>
      </c>
      <c r="B34" s="42" t="s">
        <v>67</v>
      </c>
      <c r="C34" s="42" t="s">
        <v>68</v>
      </c>
      <c r="D34" s="42" t="s">
        <v>46</v>
      </c>
      <c r="E34" s="41">
        <v>20</v>
      </c>
      <c r="F34" s="43">
        <v>87.5</v>
      </c>
      <c r="G34" s="48">
        <f t="shared" si="0"/>
        <v>1750</v>
      </c>
      <c r="H34" s="15"/>
      <c r="I34" s="16"/>
    </row>
    <row r="35" spans="1:9" ht="16.5" customHeight="1" x14ac:dyDescent="0.15">
      <c r="A35" s="47">
        <v>10</v>
      </c>
      <c r="B35" s="42" t="s">
        <v>69</v>
      </c>
      <c r="C35" s="42" t="s">
        <v>70</v>
      </c>
      <c r="D35" s="42" t="s">
        <v>46</v>
      </c>
      <c r="E35" s="41">
        <v>5</v>
      </c>
      <c r="F35" s="43">
        <v>40</v>
      </c>
      <c r="G35" s="48">
        <f t="shared" si="0"/>
        <v>200</v>
      </c>
      <c r="H35" s="15"/>
      <c r="I35" s="16"/>
    </row>
    <row r="36" spans="1:9" ht="16.5" customHeight="1" x14ac:dyDescent="0.15">
      <c r="A36" s="47">
        <v>11</v>
      </c>
      <c r="B36" s="42" t="s">
        <v>71</v>
      </c>
      <c r="C36" s="42" t="s">
        <v>72</v>
      </c>
      <c r="D36" s="42" t="s">
        <v>46</v>
      </c>
      <c r="E36" s="41">
        <v>100</v>
      </c>
      <c r="F36" s="43">
        <v>125</v>
      </c>
      <c r="G36" s="48">
        <f t="shared" si="0"/>
        <v>12500</v>
      </c>
      <c r="H36" s="15"/>
      <c r="I36" s="16"/>
    </row>
    <row r="37" spans="1:9" ht="16.5" customHeight="1" x14ac:dyDescent="0.15">
      <c r="A37" s="47">
        <v>12</v>
      </c>
      <c r="B37" s="42" t="s">
        <v>73</v>
      </c>
      <c r="C37" s="42" t="s">
        <v>74</v>
      </c>
      <c r="D37" s="42" t="s">
        <v>46</v>
      </c>
      <c r="E37" s="41">
        <v>20</v>
      </c>
      <c r="F37" s="43">
        <v>42</v>
      </c>
      <c r="G37" s="48">
        <f t="shared" si="0"/>
        <v>840</v>
      </c>
      <c r="H37" s="15"/>
      <c r="I37" s="16"/>
    </row>
    <row r="38" spans="1:9" ht="16.5" customHeight="1" x14ac:dyDescent="0.15">
      <c r="A38" s="47">
        <v>13</v>
      </c>
      <c r="B38" s="42" t="s">
        <v>75</v>
      </c>
      <c r="C38" s="42" t="s">
        <v>76</v>
      </c>
      <c r="D38" s="42" t="s">
        <v>46</v>
      </c>
      <c r="E38" s="41">
        <v>20</v>
      </c>
      <c r="F38" s="43">
        <v>45</v>
      </c>
      <c r="G38" s="48">
        <f t="shared" si="0"/>
        <v>900</v>
      </c>
      <c r="H38" s="15"/>
      <c r="I38" s="16"/>
    </row>
    <row r="39" spans="1:9" ht="16.5" customHeight="1" x14ac:dyDescent="0.15">
      <c r="A39" s="47">
        <v>14</v>
      </c>
      <c r="B39" s="42" t="s">
        <v>77</v>
      </c>
      <c r="C39" s="42" t="s">
        <v>78</v>
      </c>
      <c r="D39" s="42" t="s">
        <v>46</v>
      </c>
      <c r="E39" s="41">
        <v>300</v>
      </c>
      <c r="F39" s="43">
        <v>37.5</v>
      </c>
      <c r="G39" s="48">
        <f t="shared" si="0"/>
        <v>11250</v>
      </c>
      <c r="H39" s="15"/>
      <c r="I39" s="16"/>
    </row>
    <row r="40" spans="1:9" ht="16.5" customHeight="1" x14ac:dyDescent="0.15">
      <c r="A40" s="47">
        <v>15</v>
      </c>
      <c r="B40" s="42" t="s">
        <v>79</v>
      </c>
      <c r="C40" s="42" t="s">
        <v>80</v>
      </c>
      <c r="D40" s="42" t="s">
        <v>46</v>
      </c>
      <c r="E40" s="41">
        <v>100</v>
      </c>
      <c r="F40" s="43">
        <v>62.5</v>
      </c>
      <c r="G40" s="48">
        <f t="shared" si="0"/>
        <v>6250</v>
      </c>
      <c r="H40" s="15"/>
      <c r="I40" s="16"/>
    </row>
    <row r="41" spans="1:9" ht="16.5" customHeight="1" x14ac:dyDescent="0.15">
      <c r="A41" s="47">
        <v>16</v>
      </c>
      <c r="B41" s="42" t="s">
        <v>81</v>
      </c>
      <c r="C41" s="42" t="s">
        <v>82</v>
      </c>
      <c r="D41" s="42" t="s">
        <v>46</v>
      </c>
      <c r="E41" s="41">
        <v>20</v>
      </c>
      <c r="F41" s="43">
        <v>45</v>
      </c>
      <c r="G41" s="48">
        <f t="shared" si="0"/>
        <v>900</v>
      </c>
      <c r="H41" s="15"/>
      <c r="I41" s="16"/>
    </row>
    <row r="42" spans="1:9" ht="16.5" customHeight="1" x14ac:dyDescent="0.15">
      <c r="A42" s="47">
        <v>17</v>
      </c>
      <c r="B42" s="42" t="s">
        <v>83</v>
      </c>
      <c r="C42" s="42" t="s">
        <v>84</v>
      </c>
      <c r="D42" s="42" t="s">
        <v>46</v>
      </c>
      <c r="E42" s="41">
        <v>5</v>
      </c>
      <c r="F42" s="43">
        <v>50</v>
      </c>
      <c r="G42" s="48">
        <f t="shared" si="0"/>
        <v>250</v>
      </c>
      <c r="H42" s="15"/>
      <c r="I42" s="16"/>
    </row>
    <row r="43" spans="1:9" ht="16.5" customHeight="1" x14ac:dyDescent="0.15">
      <c r="A43" s="47">
        <v>18</v>
      </c>
      <c r="B43" s="42">
        <v>13010</v>
      </c>
      <c r="C43" s="42" t="s">
        <v>85</v>
      </c>
      <c r="D43" s="42" t="s">
        <v>46</v>
      </c>
      <c r="E43" s="41">
        <v>5</v>
      </c>
      <c r="F43" s="43">
        <v>42.5</v>
      </c>
      <c r="G43" s="48">
        <f t="shared" si="0"/>
        <v>212.5</v>
      </c>
      <c r="H43" s="15"/>
      <c r="I43" s="16"/>
    </row>
    <row r="44" spans="1:9" ht="16.5" customHeight="1" x14ac:dyDescent="0.15">
      <c r="A44" s="47">
        <v>19</v>
      </c>
      <c r="B44" s="42" t="s">
        <v>86</v>
      </c>
      <c r="C44" s="42" t="s">
        <v>87</v>
      </c>
      <c r="D44" s="42" t="s">
        <v>46</v>
      </c>
      <c r="E44" s="41">
        <v>50</v>
      </c>
      <c r="F44" s="43">
        <v>34</v>
      </c>
      <c r="G44" s="48">
        <f t="shared" si="0"/>
        <v>1700</v>
      </c>
      <c r="H44" s="15"/>
      <c r="I44" s="16"/>
    </row>
    <row r="45" spans="1:9" ht="16.5" customHeight="1" x14ac:dyDescent="0.15">
      <c r="A45" s="47">
        <v>20</v>
      </c>
      <c r="B45" s="42" t="s">
        <v>88</v>
      </c>
      <c r="C45" s="42" t="s">
        <v>89</v>
      </c>
      <c r="D45" s="42" t="s">
        <v>46</v>
      </c>
      <c r="E45" s="41">
        <v>20</v>
      </c>
      <c r="F45" s="43">
        <v>112.5</v>
      </c>
      <c r="G45" s="48">
        <f t="shared" si="0"/>
        <v>2250</v>
      </c>
      <c r="H45" s="15"/>
      <c r="I45" s="16"/>
    </row>
    <row r="46" spans="1:9" ht="16.5" customHeight="1" x14ac:dyDescent="0.15">
      <c r="A46" s="47">
        <v>21</v>
      </c>
      <c r="B46" s="42" t="s">
        <v>90</v>
      </c>
      <c r="C46" s="42" t="s">
        <v>91</v>
      </c>
      <c r="D46" s="42" t="s">
        <v>46</v>
      </c>
      <c r="E46" s="41">
        <v>20</v>
      </c>
      <c r="F46" s="43">
        <v>42.5</v>
      </c>
      <c r="G46" s="48">
        <f t="shared" si="0"/>
        <v>850</v>
      </c>
      <c r="H46" s="15"/>
      <c r="I46" s="16"/>
    </row>
    <row r="47" spans="1:9" ht="16.5" customHeight="1" x14ac:dyDescent="0.15">
      <c r="A47" s="47">
        <v>22</v>
      </c>
      <c r="B47" s="42" t="s">
        <v>92</v>
      </c>
      <c r="C47" s="42" t="s">
        <v>93</v>
      </c>
      <c r="D47" s="42" t="s">
        <v>46</v>
      </c>
      <c r="E47" s="41">
        <v>5</v>
      </c>
      <c r="F47" s="43">
        <v>39.5</v>
      </c>
      <c r="G47" s="48">
        <f t="shared" si="0"/>
        <v>197.5</v>
      </c>
      <c r="H47" s="15"/>
      <c r="I47" s="16"/>
    </row>
    <row r="48" spans="1:9" ht="16.5" customHeight="1" x14ac:dyDescent="0.15">
      <c r="A48" s="47">
        <v>23</v>
      </c>
      <c r="B48" s="42" t="s">
        <v>94</v>
      </c>
      <c r="C48" s="42" t="s">
        <v>95</v>
      </c>
      <c r="D48" s="42" t="s">
        <v>46</v>
      </c>
      <c r="E48" s="41">
        <v>20</v>
      </c>
      <c r="F48" s="43">
        <v>42.5</v>
      </c>
      <c r="G48" s="48">
        <f t="shared" si="0"/>
        <v>850</v>
      </c>
      <c r="H48" s="15"/>
      <c r="I48" s="16"/>
    </row>
    <row r="49" spans="1:9" ht="16.5" customHeight="1" x14ac:dyDescent="0.15">
      <c r="A49" s="47">
        <v>24</v>
      </c>
      <c r="B49" s="42" t="s">
        <v>45</v>
      </c>
      <c r="C49" s="42" t="s">
        <v>48</v>
      </c>
      <c r="D49" s="42" t="s">
        <v>96</v>
      </c>
      <c r="E49" s="41">
        <v>300</v>
      </c>
      <c r="F49" s="43">
        <v>35</v>
      </c>
      <c r="G49" s="48">
        <f t="shared" si="0"/>
        <v>10500</v>
      </c>
      <c r="H49" s="15"/>
      <c r="I49" s="16"/>
    </row>
    <row r="50" spans="1:9" ht="16.5" customHeight="1" x14ac:dyDescent="0.15">
      <c r="A50" s="47">
        <v>25</v>
      </c>
      <c r="B50" s="42" t="s">
        <v>97</v>
      </c>
      <c r="C50" s="42" t="s">
        <v>98</v>
      </c>
      <c r="D50" s="42" t="s">
        <v>46</v>
      </c>
      <c r="E50" s="41">
        <v>5</v>
      </c>
      <c r="F50" s="43">
        <v>39.5</v>
      </c>
      <c r="G50" s="48">
        <f t="shared" si="0"/>
        <v>197.5</v>
      </c>
      <c r="H50" s="15"/>
      <c r="I50" s="16"/>
    </row>
    <row r="51" spans="1:9" ht="16.5" customHeight="1" x14ac:dyDescent="0.15">
      <c r="A51" s="47">
        <v>26</v>
      </c>
      <c r="B51" s="42" t="s">
        <v>99</v>
      </c>
      <c r="C51" s="42" t="s">
        <v>100</v>
      </c>
      <c r="D51" s="42" t="s">
        <v>46</v>
      </c>
      <c r="E51" s="41">
        <v>50</v>
      </c>
      <c r="F51" s="43">
        <v>50</v>
      </c>
      <c r="G51" s="48">
        <f t="shared" si="0"/>
        <v>2500</v>
      </c>
      <c r="H51" s="15"/>
      <c r="I51" s="16"/>
    </row>
    <row r="52" spans="1:9" ht="16.5" customHeight="1" x14ac:dyDescent="0.15">
      <c r="A52" s="47">
        <v>27</v>
      </c>
      <c r="B52" s="42" t="s">
        <v>49</v>
      </c>
      <c r="C52" s="42" t="s">
        <v>50</v>
      </c>
      <c r="D52" s="42" t="s">
        <v>46</v>
      </c>
      <c r="E52" s="41">
        <v>10</v>
      </c>
      <c r="F52" s="43">
        <v>50</v>
      </c>
      <c r="G52" s="48">
        <f t="shared" si="0"/>
        <v>500</v>
      </c>
      <c r="H52" s="15"/>
      <c r="I52" s="16"/>
    </row>
    <row r="53" spans="1:9" ht="16.5" customHeight="1" x14ac:dyDescent="0.15">
      <c r="A53" s="47">
        <v>28</v>
      </c>
      <c r="B53" s="42" t="s">
        <v>101</v>
      </c>
      <c r="C53" s="42" t="s">
        <v>102</v>
      </c>
      <c r="D53" s="42" t="s">
        <v>103</v>
      </c>
      <c r="E53" s="41">
        <v>2</v>
      </c>
      <c r="F53" s="43">
        <v>21</v>
      </c>
      <c r="G53" s="48">
        <f t="shared" si="0"/>
        <v>42</v>
      </c>
      <c r="H53" s="15"/>
      <c r="I53" s="16"/>
    </row>
    <row r="54" spans="1:9" ht="16.5" customHeight="1" x14ac:dyDescent="0.15">
      <c r="A54" s="47">
        <v>29</v>
      </c>
      <c r="B54" s="42" t="s">
        <v>104</v>
      </c>
      <c r="C54" s="42" t="s">
        <v>105</v>
      </c>
      <c r="D54" s="42" t="s">
        <v>103</v>
      </c>
      <c r="E54" s="41">
        <v>5</v>
      </c>
      <c r="F54" s="43">
        <v>21</v>
      </c>
      <c r="G54" s="48">
        <f t="shared" si="0"/>
        <v>105</v>
      </c>
      <c r="H54" s="15"/>
      <c r="I54" s="16"/>
    </row>
    <row r="55" spans="1:9" ht="16.5" customHeight="1" x14ac:dyDescent="0.15">
      <c r="A55" s="47">
        <v>30</v>
      </c>
      <c r="B55" s="42" t="s">
        <v>106</v>
      </c>
      <c r="C55" s="42" t="s">
        <v>107</v>
      </c>
      <c r="D55" s="42" t="s">
        <v>108</v>
      </c>
      <c r="E55" s="41">
        <v>5</v>
      </c>
      <c r="F55" s="43">
        <v>25</v>
      </c>
      <c r="G55" s="48">
        <f t="shared" si="0"/>
        <v>125</v>
      </c>
      <c r="H55" s="15"/>
      <c r="I55" s="16"/>
    </row>
    <row r="56" spans="1:9" ht="16.5" customHeight="1" x14ac:dyDescent="0.15">
      <c r="A56" s="47">
        <v>31</v>
      </c>
      <c r="B56" s="42" t="s">
        <v>109</v>
      </c>
      <c r="C56" s="42" t="s">
        <v>110</v>
      </c>
      <c r="D56" s="42" t="s">
        <v>103</v>
      </c>
      <c r="E56" s="41">
        <v>5</v>
      </c>
      <c r="F56" s="43">
        <v>21</v>
      </c>
      <c r="G56" s="48">
        <f t="shared" si="0"/>
        <v>105</v>
      </c>
      <c r="H56" s="15"/>
      <c r="I56" s="16"/>
    </row>
    <row r="57" spans="1:9" ht="16.5" customHeight="1" x14ac:dyDescent="0.15">
      <c r="A57" s="47">
        <v>32</v>
      </c>
      <c r="B57" s="42" t="s">
        <v>111</v>
      </c>
      <c r="C57" s="42" t="s">
        <v>112</v>
      </c>
      <c r="D57" s="42" t="s">
        <v>103</v>
      </c>
      <c r="E57" s="41">
        <v>20</v>
      </c>
      <c r="F57" s="43">
        <v>21</v>
      </c>
      <c r="G57" s="48">
        <f t="shared" si="0"/>
        <v>420</v>
      </c>
      <c r="H57" s="15"/>
      <c r="I57" s="16"/>
    </row>
    <row r="58" spans="1:9" ht="16.5" customHeight="1" x14ac:dyDescent="0.15">
      <c r="A58" s="47">
        <v>33</v>
      </c>
      <c r="B58" s="42" t="s">
        <v>113</v>
      </c>
      <c r="C58" s="42" t="s">
        <v>114</v>
      </c>
      <c r="D58" s="42" t="s">
        <v>103</v>
      </c>
      <c r="E58" s="41">
        <v>5</v>
      </c>
      <c r="F58" s="43">
        <v>21</v>
      </c>
      <c r="G58" s="48">
        <f t="shared" si="0"/>
        <v>105</v>
      </c>
      <c r="H58" s="15"/>
      <c r="I58" s="16"/>
    </row>
    <row r="59" spans="1:9" ht="16.5" customHeight="1" x14ac:dyDescent="0.15">
      <c r="A59" s="47">
        <v>34</v>
      </c>
      <c r="B59" s="42" t="s">
        <v>115</v>
      </c>
      <c r="C59" s="42" t="s">
        <v>116</v>
      </c>
      <c r="D59" s="42" t="s">
        <v>103</v>
      </c>
      <c r="E59" s="41">
        <v>5</v>
      </c>
      <c r="F59" s="43">
        <v>21</v>
      </c>
      <c r="G59" s="48">
        <f t="shared" si="0"/>
        <v>105</v>
      </c>
      <c r="H59" s="15"/>
      <c r="I59" s="16"/>
    </row>
    <row r="60" spans="1:9" ht="16.5" customHeight="1" x14ac:dyDescent="0.15">
      <c r="A60" s="47">
        <v>35</v>
      </c>
      <c r="B60" s="42" t="s">
        <v>117</v>
      </c>
      <c r="C60" s="42" t="s">
        <v>118</v>
      </c>
      <c r="D60" s="42" t="s">
        <v>103</v>
      </c>
      <c r="E60" s="41">
        <v>10</v>
      </c>
      <c r="F60" s="43">
        <v>15.8</v>
      </c>
      <c r="G60" s="48">
        <f t="shared" si="0"/>
        <v>158</v>
      </c>
      <c r="H60" s="15"/>
      <c r="I60" s="16"/>
    </row>
    <row r="61" spans="1:9" ht="16.5" customHeight="1" x14ac:dyDescent="0.15">
      <c r="A61" s="47">
        <v>36</v>
      </c>
      <c r="B61" s="42" t="s">
        <v>119</v>
      </c>
      <c r="C61" s="42" t="s">
        <v>120</v>
      </c>
      <c r="D61" s="42" t="s">
        <v>103</v>
      </c>
      <c r="E61" s="41">
        <v>1</v>
      </c>
      <c r="F61" s="43">
        <v>25</v>
      </c>
      <c r="G61" s="48">
        <f t="shared" si="0"/>
        <v>25</v>
      </c>
      <c r="H61" s="15"/>
      <c r="I61" s="16"/>
    </row>
    <row r="62" spans="1:9" ht="16.5" customHeight="1" x14ac:dyDescent="0.15">
      <c r="A62" s="47">
        <v>37</v>
      </c>
      <c r="B62" s="42" t="s">
        <v>121</v>
      </c>
      <c r="C62" s="42" t="s">
        <v>122</v>
      </c>
      <c r="D62" s="42" t="s">
        <v>103</v>
      </c>
      <c r="E62" s="41">
        <v>20</v>
      </c>
      <c r="F62" s="43">
        <v>21</v>
      </c>
      <c r="G62" s="48">
        <f t="shared" si="0"/>
        <v>420</v>
      </c>
      <c r="H62" s="15"/>
      <c r="I62" s="16"/>
    </row>
    <row r="63" spans="1:9" ht="16.5" customHeight="1" x14ac:dyDescent="0.15">
      <c r="A63" s="47">
        <v>38</v>
      </c>
      <c r="B63" s="42" t="s">
        <v>123</v>
      </c>
      <c r="C63" s="42" t="s">
        <v>124</v>
      </c>
      <c r="D63" s="42" t="s">
        <v>103</v>
      </c>
      <c r="E63" s="41">
        <v>10</v>
      </c>
      <c r="F63" s="43">
        <v>21</v>
      </c>
      <c r="G63" s="48">
        <f t="shared" si="0"/>
        <v>210</v>
      </c>
      <c r="H63" s="15"/>
      <c r="I63" s="16"/>
    </row>
    <row r="64" spans="1:9" ht="16.5" customHeight="1" x14ac:dyDescent="0.15">
      <c r="A64" s="47">
        <v>39</v>
      </c>
      <c r="B64" s="42" t="s">
        <v>125</v>
      </c>
      <c r="C64" s="42" t="s">
        <v>126</v>
      </c>
      <c r="D64" s="42" t="s">
        <v>103</v>
      </c>
      <c r="E64" s="41">
        <v>5</v>
      </c>
      <c r="F64" s="43">
        <v>21</v>
      </c>
      <c r="G64" s="48">
        <f t="shared" si="0"/>
        <v>105</v>
      </c>
      <c r="H64" s="15"/>
      <c r="I64" s="16"/>
    </row>
    <row r="65" spans="1:9" ht="16.5" customHeight="1" x14ac:dyDescent="0.15">
      <c r="A65" s="47">
        <v>40</v>
      </c>
      <c r="B65" s="42" t="s">
        <v>127</v>
      </c>
      <c r="C65" s="42" t="s">
        <v>128</v>
      </c>
      <c r="D65" s="42" t="s">
        <v>103</v>
      </c>
      <c r="E65" s="41">
        <v>5</v>
      </c>
      <c r="F65" s="43">
        <v>21</v>
      </c>
      <c r="G65" s="48">
        <f t="shared" si="0"/>
        <v>105</v>
      </c>
      <c r="H65" s="15"/>
      <c r="I65" s="16"/>
    </row>
    <row r="66" spans="1:9" ht="16.5" customHeight="1" x14ac:dyDescent="0.15">
      <c r="A66" s="47">
        <v>41</v>
      </c>
      <c r="B66" s="42" t="s">
        <v>129</v>
      </c>
      <c r="C66" s="42" t="s">
        <v>130</v>
      </c>
      <c r="D66" s="42" t="s">
        <v>103</v>
      </c>
      <c r="E66" s="41">
        <v>5</v>
      </c>
      <c r="F66" s="43">
        <v>12</v>
      </c>
      <c r="G66" s="48">
        <f t="shared" si="0"/>
        <v>60</v>
      </c>
      <c r="H66" s="15"/>
      <c r="I66" s="16"/>
    </row>
    <row r="67" spans="1:9" ht="16.5" customHeight="1" x14ac:dyDescent="0.15">
      <c r="A67" s="47">
        <v>42</v>
      </c>
      <c r="B67" s="42" t="s">
        <v>131</v>
      </c>
      <c r="C67" s="42" t="s">
        <v>132</v>
      </c>
      <c r="D67" s="42" t="s">
        <v>103</v>
      </c>
      <c r="E67" s="41">
        <v>10</v>
      </c>
      <c r="F67" s="43">
        <v>21</v>
      </c>
      <c r="G67" s="48">
        <f t="shared" si="0"/>
        <v>210</v>
      </c>
      <c r="H67" s="15"/>
      <c r="I67" s="16"/>
    </row>
    <row r="68" spans="1:9" ht="16.5" customHeight="1" x14ac:dyDescent="0.15">
      <c r="A68" s="47">
        <v>43</v>
      </c>
      <c r="B68" s="42" t="s">
        <v>133</v>
      </c>
      <c r="C68" s="42" t="s">
        <v>134</v>
      </c>
      <c r="D68" s="42" t="s">
        <v>103</v>
      </c>
      <c r="E68" s="41">
        <v>5</v>
      </c>
      <c r="F68" s="43">
        <v>21</v>
      </c>
      <c r="G68" s="48">
        <f t="shared" si="0"/>
        <v>105</v>
      </c>
      <c r="H68" s="15"/>
      <c r="I68" s="16"/>
    </row>
    <row r="69" spans="1:9" ht="16.5" customHeight="1" x14ac:dyDescent="0.15">
      <c r="A69" s="47">
        <v>44</v>
      </c>
      <c r="B69" s="42" t="s">
        <v>137</v>
      </c>
      <c r="C69" s="42" t="s">
        <v>135</v>
      </c>
      <c r="D69" s="42" t="s">
        <v>142</v>
      </c>
      <c r="E69" s="41">
        <v>5</v>
      </c>
      <c r="F69" s="43">
        <v>9</v>
      </c>
      <c r="G69" s="48">
        <f t="shared" si="0"/>
        <v>45</v>
      </c>
      <c r="H69" s="15"/>
      <c r="I69" s="16"/>
    </row>
    <row r="70" spans="1:9" ht="16.5" customHeight="1" x14ac:dyDescent="0.15">
      <c r="A70" s="47">
        <v>45</v>
      </c>
      <c r="B70" s="42" t="s">
        <v>138</v>
      </c>
      <c r="C70" s="42" t="s">
        <v>136</v>
      </c>
      <c r="D70" s="42" t="s">
        <v>143</v>
      </c>
      <c r="E70" s="41">
        <v>10</v>
      </c>
      <c r="F70" s="43">
        <v>9</v>
      </c>
      <c r="G70" s="48">
        <f t="shared" si="0"/>
        <v>90</v>
      </c>
      <c r="H70" s="15"/>
      <c r="I70" s="16"/>
    </row>
    <row r="71" spans="1:9" ht="16.5" customHeight="1" thickBot="1" x14ac:dyDescent="0.2">
      <c r="A71" s="49">
        <v>46</v>
      </c>
      <c r="B71" s="50" t="s">
        <v>139</v>
      </c>
      <c r="C71" s="50" t="s">
        <v>140</v>
      </c>
      <c r="D71" s="50" t="s">
        <v>141</v>
      </c>
      <c r="E71" s="51">
        <v>20</v>
      </c>
      <c r="F71" s="52">
        <v>2.75</v>
      </c>
      <c r="G71" s="53">
        <f t="shared" si="0"/>
        <v>55</v>
      </c>
      <c r="H71" s="15"/>
      <c r="I71" s="16"/>
    </row>
    <row r="72" spans="1:9" ht="16.149999999999999" customHeight="1" x14ac:dyDescent="0.15">
      <c r="A72" s="17"/>
      <c r="B72" s="20"/>
      <c r="C72" s="21"/>
      <c r="D72" s="22"/>
      <c r="E72" s="223" t="s">
        <v>37</v>
      </c>
      <c r="F72" s="224"/>
      <c r="G72" s="37">
        <f>SUM(G26:G71)</f>
        <v>69535</v>
      </c>
      <c r="H72" s="38"/>
      <c r="I72" s="39"/>
    </row>
    <row r="73" spans="1:9" ht="16.149999999999999" customHeight="1" x14ac:dyDescent="0.25">
      <c r="A73" s="17"/>
      <c r="B73" s="20"/>
      <c r="C73" s="21"/>
      <c r="D73" s="22"/>
      <c r="E73" s="223" t="s">
        <v>38</v>
      </c>
      <c r="F73" s="224"/>
      <c r="G73" s="40">
        <v>3393</v>
      </c>
      <c r="H73" s="15"/>
      <c r="I73" s="16"/>
    </row>
    <row r="74" spans="1:9" ht="16.149999999999999" customHeight="1" thickBot="1" x14ac:dyDescent="0.2">
      <c r="A74" s="7"/>
      <c r="E74" s="33" t="s">
        <v>30</v>
      </c>
      <c r="F74" s="34"/>
      <c r="G74" s="35">
        <f>SUM(G72:G73)</f>
        <v>72928</v>
      </c>
      <c r="H74" s="15"/>
      <c r="I74" s="16"/>
    </row>
    <row r="75" spans="1:9" ht="35.450000000000003" customHeight="1" x14ac:dyDescent="0.15">
      <c r="A75" s="225" t="s">
        <v>31</v>
      </c>
      <c r="B75" s="226"/>
      <c r="C75" s="226"/>
      <c r="D75" s="226"/>
      <c r="E75" s="226"/>
      <c r="F75" s="226"/>
      <c r="G75" s="226"/>
      <c r="H75" s="15"/>
      <c r="I75" s="16"/>
    </row>
    <row r="76" spans="1:9" ht="16.149999999999999" customHeight="1" x14ac:dyDescent="0.2">
      <c r="A76" s="23"/>
      <c r="B76" s="24"/>
      <c r="C76" s="24"/>
      <c r="D76" s="24"/>
      <c r="E76" s="24"/>
      <c r="F76" s="24"/>
      <c r="G76" s="24"/>
      <c r="H76" s="15"/>
      <c r="I76" s="16"/>
    </row>
    <row r="77" spans="1:9" ht="16.149999999999999" customHeight="1" x14ac:dyDescent="0.15">
      <c r="A77" s="227" t="s">
        <v>32</v>
      </c>
      <c r="B77" s="227"/>
      <c r="C77" s="27"/>
      <c r="D77" s="228" t="s">
        <v>33</v>
      </c>
      <c r="E77" s="229"/>
      <c r="F77" s="20"/>
      <c r="G77" s="28"/>
      <c r="H77" s="15"/>
      <c r="I77" s="16"/>
    </row>
    <row r="78" spans="1:9" ht="16.149999999999999" customHeight="1" x14ac:dyDescent="0.15">
      <c r="A78" s="213" t="s">
        <v>39</v>
      </c>
      <c r="B78" s="213"/>
      <c r="C78" s="213"/>
      <c r="D78" s="214" t="s">
        <v>147</v>
      </c>
      <c r="E78" s="214"/>
      <c r="F78" s="20"/>
      <c r="G78" s="28"/>
      <c r="H78" s="15"/>
      <c r="I78" s="16"/>
    </row>
    <row r="79" spans="1:9" ht="16.149999999999999" customHeight="1" x14ac:dyDescent="0.15">
      <c r="A79" s="213" t="s">
        <v>40</v>
      </c>
      <c r="B79" s="213"/>
      <c r="C79" s="213"/>
      <c r="D79" s="214" t="s">
        <v>34</v>
      </c>
      <c r="E79" s="214"/>
      <c r="F79" s="20"/>
      <c r="G79" s="28"/>
      <c r="H79" s="15"/>
      <c r="I79" s="16"/>
    </row>
    <row r="80" spans="1:9" ht="16.149999999999999" customHeight="1" x14ac:dyDescent="0.15">
      <c r="A80" s="213" t="s">
        <v>35</v>
      </c>
      <c r="B80" s="213"/>
      <c r="C80" s="213"/>
      <c r="D80" s="30"/>
      <c r="E80" s="30"/>
      <c r="F80" s="30"/>
      <c r="G80" s="30"/>
      <c r="H80" s="15"/>
      <c r="I80" s="16"/>
    </row>
    <row r="81" spans="1:9" ht="16.149999999999999" customHeight="1" x14ac:dyDescent="0.15">
      <c r="A81" s="230"/>
      <c r="B81" s="230"/>
      <c r="C81" s="230"/>
      <c r="D81" s="29"/>
      <c r="E81" s="29"/>
      <c r="F81" s="29"/>
      <c r="G81" s="29"/>
      <c r="H81" s="15"/>
      <c r="I81" s="16"/>
    </row>
    <row r="82" spans="1:9" ht="16.149999999999999" customHeight="1" x14ac:dyDescent="0.15">
      <c r="A82" s="225" t="s">
        <v>36</v>
      </c>
      <c r="B82" s="226"/>
      <c r="C82" s="226"/>
      <c r="D82" s="226"/>
      <c r="E82" s="226"/>
      <c r="F82" s="226"/>
      <c r="G82" s="226"/>
      <c r="H82" s="15"/>
      <c r="I82" s="16"/>
    </row>
    <row r="83" spans="1:9" ht="16.149999999999999" customHeight="1" x14ac:dyDescent="0.15">
      <c r="A83" s="31"/>
      <c r="H83" s="15"/>
      <c r="I83" s="16"/>
    </row>
    <row r="84" spans="1:9" ht="16.149999999999999" customHeight="1" x14ac:dyDescent="0.15">
      <c r="H84" s="15"/>
      <c r="I84" s="16"/>
    </row>
    <row r="85" spans="1:9" ht="16.149999999999999" customHeight="1" x14ac:dyDescent="0.15">
      <c r="H85" s="15"/>
      <c r="I85" s="16"/>
    </row>
    <row r="86" spans="1:9" ht="16.149999999999999" customHeight="1" x14ac:dyDescent="0.15">
      <c r="H86" s="15"/>
      <c r="I86" s="16"/>
    </row>
    <row r="87" spans="1:9" ht="16.149999999999999" customHeight="1" x14ac:dyDescent="0.15">
      <c r="H87" s="15"/>
      <c r="I87" s="16"/>
    </row>
    <row r="88" spans="1:9" ht="16.149999999999999" customHeight="1" x14ac:dyDescent="0.15">
      <c r="H88" s="15"/>
      <c r="I88" s="16"/>
    </row>
    <row r="89" spans="1:9" ht="16.149999999999999" customHeight="1" x14ac:dyDescent="0.15">
      <c r="H89" s="15"/>
      <c r="I89" s="16"/>
    </row>
    <row r="90" spans="1:9" ht="16.149999999999999" customHeight="1" x14ac:dyDescent="0.15">
      <c r="H90" s="15"/>
      <c r="I90" s="16"/>
    </row>
    <row r="91" spans="1:9" ht="16.149999999999999" customHeight="1" x14ac:dyDescent="0.15">
      <c r="H91" s="15"/>
      <c r="I91" s="16"/>
    </row>
    <row r="92" spans="1:9" ht="16.149999999999999" customHeight="1" x14ac:dyDescent="0.15">
      <c r="H92" s="15"/>
      <c r="I92" s="16"/>
    </row>
    <row r="93" spans="1:9" ht="16.149999999999999" customHeight="1" x14ac:dyDescent="0.15">
      <c r="H93" s="15"/>
      <c r="I93" s="16"/>
    </row>
    <row r="94" spans="1:9" ht="16.149999999999999" customHeight="1" x14ac:dyDescent="0.15">
      <c r="H94" s="15"/>
      <c r="I94" s="16"/>
    </row>
    <row r="95" spans="1:9" ht="16.149999999999999" customHeight="1" x14ac:dyDescent="0.15">
      <c r="H95" s="15"/>
      <c r="I95" s="16"/>
    </row>
    <row r="96" spans="1:9" ht="16.149999999999999" customHeight="1" x14ac:dyDescent="0.15">
      <c r="H96" s="15"/>
      <c r="I96" s="16"/>
    </row>
    <row r="97" spans="8:9" ht="16.149999999999999" customHeight="1" x14ac:dyDescent="0.15">
      <c r="H97" s="15"/>
      <c r="I97" s="16"/>
    </row>
    <row r="98" spans="8:9" ht="16.149999999999999" customHeight="1" x14ac:dyDescent="0.15">
      <c r="H98" s="15"/>
      <c r="I98" s="16"/>
    </row>
    <row r="99" spans="8:9" ht="16.149999999999999" customHeight="1" x14ac:dyDescent="0.15">
      <c r="H99" s="15"/>
      <c r="I99" s="16"/>
    </row>
    <row r="100" spans="8:9" ht="16.149999999999999" customHeight="1" x14ac:dyDescent="0.15">
      <c r="H100" s="15"/>
      <c r="I100" s="16"/>
    </row>
    <row r="101" spans="8:9" ht="16.149999999999999" customHeight="1" x14ac:dyDescent="0.15">
      <c r="H101" s="15"/>
      <c r="I101" s="16"/>
    </row>
    <row r="102" spans="8:9" ht="16.149999999999999" customHeight="1" x14ac:dyDescent="0.15">
      <c r="H102" s="15"/>
      <c r="I102" s="16"/>
    </row>
    <row r="103" spans="8:9" ht="16.149999999999999" customHeight="1" x14ac:dyDescent="0.15">
      <c r="H103" s="15"/>
      <c r="I103" s="16"/>
    </row>
    <row r="104" spans="8:9" ht="16.149999999999999" customHeight="1" x14ac:dyDescent="0.15">
      <c r="H104" s="15"/>
      <c r="I104" s="16"/>
    </row>
    <row r="105" spans="8:9" ht="16.149999999999999" customHeight="1" x14ac:dyDescent="0.15">
      <c r="H105" s="15"/>
      <c r="I105" s="16"/>
    </row>
    <row r="106" spans="8:9" ht="16.149999999999999" customHeight="1" x14ac:dyDescent="0.15">
      <c r="H106" s="15"/>
      <c r="I106" s="16"/>
    </row>
    <row r="107" spans="8:9" ht="16.149999999999999" customHeight="1" x14ac:dyDescent="0.15">
      <c r="H107" s="15"/>
      <c r="I107" s="16"/>
    </row>
    <row r="108" spans="8:9" ht="16.149999999999999" customHeight="1" x14ac:dyDescent="0.15">
      <c r="H108" s="15"/>
      <c r="I108" s="16"/>
    </row>
    <row r="109" spans="8:9" ht="16.149999999999999" customHeight="1" x14ac:dyDescent="0.15">
      <c r="H109" s="15"/>
      <c r="I109" s="16"/>
    </row>
    <row r="110" spans="8:9" ht="16.149999999999999" customHeight="1" x14ac:dyDescent="0.15">
      <c r="H110" s="15"/>
      <c r="I110" s="16"/>
    </row>
    <row r="111" spans="8:9" ht="16.149999999999999" customHeight="1" x14ac:dyDescent="0.15">
      <c r="H111" s="15"/>
      <c r="I111" s="16"/>
    </row>
    <row r="112" spans="8:9" ht="16.149999999999999" customHeight="1" x14ac:dyDescent="0.15">
      <c r="H112" s="15"/>
      <c r="I112" s="16"/>
    </row>
    <row r="113" spans="8:9" ht="16.149999999999999" customHeight="1" x14ac:dyDescent="0.15">
      <c r="H113" s="15"/>
      <c r="I113" s="16"/>
    </row>
    <row r="114" spans="8:9" ht="16.149999999999999" customHeight="1" x14ac:dyDescent="0.15">
      <c r="H114" s="15"/>
      <c r="I114" s="16"/>
    </row>
    <row r="115" spans="8:9" ht="16.149999999999999" customHeight="1" x14ac:dyDescent="0.15">
      <c r="H115" s="15"/>
      <c r="I115" s="16"/>
    </row>
    <row r="116" spans="8:9" ht="16.149999999999999" customHeight="1" x14ac:dyDescent="0.15">
      <c r="H116" s="15"/>
      <c r="I116" s="16"/>
    </row>
    <row r="117" spans="8:9" ht="16.149999999999999" customHeight="1" x14ac:dyDescent="0.15">
      <c r="H117" s="15"/>
      <c r="I117" s="16"/>
    </row>
    <row r="118" spans="8:9" ht="16.149999999999999" customHeight="1" x14ac:dyDescent="0.15">
      <c r="H118" s="15"/>
      <c r="I118" s="16"/>
    </row>
    <row r="119" spans="8:9" ht="16.149999999999999" customHeight="1" x14ac:dyDescent="0.15">
      <c r="H119" s="15"/>
      <c r="I119" s="16"/>
    </row>
    <row r="120" spans="8:9" ht="16.149999999999999" customHeight="1" x14ac:dyDescent="0.15">
      <c r="H120" s="15"/>
      <c r="I120" s="16"/>
    </row>
    <row r="121" spans="8:9" ht="16.149999999999999" customHeight="1" x14ac:dyDescent="0.15">
      <c r="H121" s="15"/>
      <c r="I121" s="16"/>
    </row>
    <row r="122" spans="8:9" ht="16.149999999999999" customHeight="1" x14ac:dyDescent="0.15">
      <c r="H122" s="15"/>
      <c r="I122" s="16"/>
    </row>
    <row r="123" spans="8:9" ht="16.149999999999999" customHeight="1" x14ac:dyDescent="0.15">
      <c r="H123" s="15"/>
      <c r="I123" s="16"/>
    </row>
    <row r="124" spans="8:9" ht="16.149999999999999" customHeight="1" x14ac:dyDescent="0.15">
      <c r="H124" s="15"/>
      <c r="I124" s="16"/>
    </row>
    <row r="125" spans="8:9" ht="16.149999999999999" customHeight="1" x14ac:dyDescent="0.15">
      <c r="H125" s="15"/>
      <c r="I125" s="16"/>
    </row>
    <row r="126" spans="8:9" ht="16.149999999999999" customHeight="1" x14ac:dyDescent="0.15">
      <c r="H126" s="15"/>
      <c r="I126" s="16"/>
    </row>
    <row r="127" spans="8:9" ht="16.149999999999999" customHeight="1" x14ac:dyDescent="0.15">
      <c r="H127" s="15"/>
      <c r="I127" s="16"/>
    </row>
    <row r="128" spans="8:9" ht="16.149999999999999" customHeight="1" x14ac:dyDescent="0.15">
      <c r="H128" s="15"/>
      <c r="I128" s="16"/>
    </row>
    <row r="129" spans="1:9" ht="16.149999999999999" customHeight="1" x14ac:dyDescent="0.15">
      <c r="H129" s="15"/>
      <c r="I129" s="16"/>
    </row>
    <row r="130" spans="1:9" ht="15.95" customHeight="1" x14ac:dyDescent="0.3">
      <c r="H130" s="19"/>
      <c r="I130" s="13"/>
    </row>
    <row r="131" spans="1:9" ht="15.95" customHeight="1" x14ac:dyDescent="0.3">
      <c r="H131" s="19"/>
      <c r="I131" s="13"/>
    </row>
    <row r="132" spans="1:9" ht="15.95" customHeight="1" x14ac:dyDescent="0.3">
      <c r="H132" s="19"/>
      <c r="I132" s="13"/>
    </row>
    <row r="133" spans="1:9" s="26" customFormat="1" ht="35.450000000000003" customHeight="1" x14ac:dyDescent="0.3">
      <c r="A133" s="2"/>
      <c r="B133" s="2"/>
      <c r="C133" s="2"/>
      <c r="D133" s="2"/>
      <c r="E133" s="2"/>
      <c r="F133" s="2"/>
      <c r="G133" s="2"/>
      <c r="H133" s="18"/>
      <c r="I133" s="25"/>
    </row>
    <row r="134" spans="1:9" s="26" customFormat="1" ht="30" customHeight="1" x14ac:dyDescent="0.3">
      <c r="A134" s="2"/>
      <c r="B134" s="2"/>
      <c r="C134" s="2"/>
      <c r="D134" s="2"/>
      <c r="E134" s="2"/>
      <c r="F134" s="2"/>
      <c r="G134" s="2"/>
      <c r="H134" s="18"/>
      <c r="I134" s="25"/>
    </row>
    <row r="135" spans="1:9" s="26" customFormat="1" ht="25.15" customHeight="1" x14ac:dyDescent="0.3">
      <c r="A135" s="2"/>
      <c r="B135" s="2"/>
      <c r="C135" s="2"/>
      <c r="D135" s="2"/>
      <c r="E135" s="2"/>
      <c r="F135" s="2"/>
      <c r="G135" s="2"/>
      <c r="H135" s="18"/>
      <c r="I135" s="25"/>
    </row>
    <row r="136" spans="1:9" ht="15.75" customHeight="1" x14ac:dyDescent="0.3">
      <c r="H136" s="18"/>
      <c r="I136" s="25"/>
    </row>
    <row r="137" spans="1:9" ht="15.75" customHeight="1" x14ac:dyDescent="0.3">
      <c r="H137" s="18"/>
      <c r="I137" s="25"/>
    </row>
    <row r="138" spans="1:9" ht="15.75" customHeight="1" x14ac:dyDescent="0.3">
      <c r="H138" s="18"/>
      <c r="I138" s="25"/>
    </row>
    <row r="139" spans="1:9" ht="15.75" customHeight="1" x14ac:dyDescent="0.3"/>
    <row r="140" spans="1:9" ht="7.5" customHeight="1" x14ac:dyDescent="0.3"/>
    <row r="141" spans="1:9" ht="13.9" customHeight="1" x14ac:dyDescent="0.3"/>
    <row r="142" spans="1:9" ht="8.25" customHeight="1" x14ac:dyDescent="0.3"/>
    <row r="143" spans="1:9" ht="17.25" customHeight="1" x14ac:dyDescent="0.3"/>
    <row r="144" spans="1:9" ht="17.25" customHeight="1" x14ac:dyDescent="0.3"/>
    <row r="145" spans="8:9" ht="17.25" customHeight="1" x14ac:dyDescent="0.3"/>
    <row r="146" spans="8:9" ht="17.25" customHeight="1" x14ac:dyDescent="0.3"/>
    <row r="147" spans="8:9" ht="6" customHeight="1" x14ac:dyDescent="0.3"/>
    <row r="148" spans="8:9" s="2" customFormat="1" ht="13.5" customHeight="1" x14ac:dyDescent="0.3">
      <c r="H148" s="11"/>
      <c r="I148" s="12"/>
    </row>
    <row r="149" spans="8:9" s="2" customFormat="1" ht="8.25" customHeight="1" x14ac:dyDescent="0.3">
      <c r="H149" s="11"/>
      <c r="I149" s="12"/>
    </row>
  </sheetData>
  <mergeCells count="41">
    <mergeCell ref="A79:C79"/>
    <mergeCell ref="D79:E79"/>
    <mergeCell ref="A80:C80"/>
    <mergeCell ref="A81:C81"/>
    <mergeCell ref="A82:G82"/>
    <mergeCell ref="A78:C78"/>
    <mergeCell ref="D78:E78"/>
    <mergeCell ref="A21:C21"/>
    <mergeCell ref="D21:G21"/>
    <mergeCell ref="A22:C22"/>
    <mergeCell ref="D22:G22"/>
    <mergeCell ref="A24:A25"/>
    <mergeCell ref="B24:B25"/>
    <mergeCell ref="C24:C25"/>
    <mergeCell ref="D24:D25"/>
    <mergeCell ref="E24:E25"/>
    <mergeCell ref="E72:F72"/>
    <mergeCell ref="E73:F73"/>
    <mergeCell ref="A75:G75"/>
    <mergeCell ref="A77:B77"/>
    <mergeCell ref="D77:E77"/>
    <mergeCell ref="A18:C18"/>
    <mergeCell ref="D18:G18"/>
    <mergeCell ref="A19:C19"/>
    <mergeCell ref="D19:G19"/>
    <mergeCell ref="A20:C20"/>
    <mergeCell ref="D20:G20"/>
    <mergeCell ref="A17:C17"/>
    <mergeCell ref="D17:G17"/>
    <mergeCell ref="F3:G3"/>
    <mergeCell ref="E9:F9"/>
    <mergeCell ref="E10:F10"/>
    <mergeCell ref="A11:C11"/>
    <mergeCell ref="D11:G11"/>
    <mergeCell ref="A12:C12"/>
    <mergeCell ref="D12:G12"/>
    <mergeCell ref="A13:C13"/>
    <mergeCell ref="D13:G14"/>
    <mergeCell ref="A14:C14"/>
    <mergeCell ref="A15:C15"/>
    <mergeCell ref="D15:G15"/>
  </mergeCells>
  <phoneticPr fontId="37" type="noConversion"/>
  <conditionalFormatting sqref="G9:G10 A18:G18 A20:G20 A22:G22">
    <cfRule type="containsBlanks" dxfId="1" priority="1">
      <formula>LEN(TRIM(A9))=0</formula>
    </cfRule>
  </conditionalFormatting>
  <pageMargins left="0.98425196850393704" right="0.39370078740157483" top="0.78740157480314965" bottom="0.39370078740157483" header="0.31496062992125984" footer="0.35433070866141736"/>
  <pageSetup paperSize="9" scale="83" fitToHeight="0" orientation="portrait" r:id="rId1"/>
  <headerFooter scaleWithDoc="0" alignWithMargins="0"/>
  <rowBreaks count="1" manualBreakCount="1">
    <brk id="106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88FE9-1E6C-4E1D-9E00-E30F612AFE7D}">
  <sheetPr>
    <pageSetUpPr fitToPage="1"/>
  </sheetPr>
  <dimension ref="A1:I95"/>
  <sheetViews>
    <sheetView tabSelected="1" view="pageBreakPreview" topLeftCell="A14" zoomScale="84" zoomScaleNormal="95" zoomScaleSheetLayoutView="84" workbookViewId="0">
      <selection activeCell="A25" sqref="A25:A28"/>
    </sheetView>
  </sheetViews>
  <sheetFormatPr defaultRowHeight="16.5" x14ac:dyDescent="0.3"/>
  <cols>
    <col min="1" max="1" width="13.25" style="32" customWidth="1"/>
    <col min="2" max="2" width="36" style="55" customWidth="1"/>
    <col min="3" max="3" width="14.75" style="32" customWidth="1"/>
    <col min="4" max="4" width="13.5" style="32" customWidth="1"/>
    <col min="5" max="5" width="16.375" customWidth="1"/>
    <col min="6" max="6" width="10.875" style="54" customWidth="1"/>
    <col min="7" max="7" width="12.75" style="32" customWidth="1"/>
    <col min="8" max="8" width="21.125" customWidth="1"/>
  </cols>
  <sheetData>
    <row r="1" spans="1:8" ht="27.75" x14ac:dyDescent="0.3">
      <c r="A1" s="121"/>
      <c r="B1" s="21"/>
      <c r="C1" s="20"/>
      <c r="D1" s="20"/>
      <c r="E1" s="70"/>
      <c r="F1" s="150" t="s">
        <v>186</v>
      </c>
      <c r="G1" s="150"/>
      <c r="H1" s="150"/>
    </row>
    <row r="2" spans="1:8" x14ac:dyDescent="0.3">
      <c r="A2" s="120"/>
      <c r="B2" s="21"/>
      <c r="C2" s="20"/>
      <c r="D2" s="20"/>
      <c r="E2" s="2"/>
      <c r="F2" s="114"/>
      <c r="G2" s="116"/>
      <c r="H2" s="119" t="s">
        <v>185</v>
      </c>
    </row>
    <row r="3" spans="1:8" x14ac:dyDescent="0.3">
      <c r="A3" s="120"/>
      <c r="B3" s="21"/>
      <c r="C3" s="20"/>
      <c r="D3" s="20"/>
      <c r="E3" s="2"/>
      <c r="F3" s="114"/>
      <c r="G3" s="116"/>
      <c r="H3" s="119" t="s">
        <v>184</v>
      </c>
    </row>
    <row r="4" spans="1:8" x14ac:dyDescent="0.3">
      <c r="A4" s="118"/>
      <c r="B4" s="21"/>
      <c r="C4" s="20"/>
      <c r="D4" s="20"/>
      <c r="E4" s="2"/>
      <c r="F4" s="114"/>
      <c r="G4" s="116"/>
      <c r="H4" s="117" t="s">
        <v>183</v>
      </c>
    </row>
    <row r="5" spans="1:8" x14ac:dyDescent="0.3">
      <c r="A5" s="118"/>
      <c r="B5" s="21"/>
      <c r="C5" s="20"/>
      <c r="D5" s="20"/>
      <c r="E5" s="2"/>
      <c r="F5" s="114"/>
      <c r="G5" s="116"/>
      <c r="H5" s="117" t="s">
        <v>182</v>
      </c>
    </row>
    <row r="6" spans="1:8" x14ac:dyDescent="0.3">
      <c r="A6" s="118"/>
      <c r="B6" s="21"/>
      <c r="C6" s="20"/>
      <c r="D6" s="20"/>
      <c r="E6" s="2"/>
      <c r="F6" s="114"/>
      <c r="G6" s="116"/>
      <c r="H6" s="117" t="s">
        <v>181</v>
      </c>
    </row>
    <row r="7" spans="1:8" x14ac:dyDescent="0.3">
      <c r="A7" s="115"/>
      <c r="B7" s="109"/>
      <c r="C7" s="108"/>
      <c r="D7" s="108"/>
      <c r="E7" s="2"/>
      <c r="F7" s="114"/>
      <c r="G7" s="116"/>
      <c r="H7" s="6" t="s">
        <v>145</v>
      </c>
    </row>
    <row r="8" spans="1:8" ht="3" customHeight="1" thickBot="1" x14ac:dyDescent="0.35">
      <c r="A8" s="115"/>
      <c r="B8" s="109"/>
      <c r="C8" s="108"/>
      <c r="D8" s="108"/>
      <c r="E8" s="2"/>
      <c r="F8" s="114"/>
      <c r="G8" s="113"/>
      <c r="H8" s="2"/>
    </row>
    <row r="9" spans="1:8" x14ac:dyDescent="0.3">
      <c r="A9" s="108"/>
      <c r="B9" s="109"/>
      <c r="C9" s="108"/>
      <c r="D9" s="108"/>
      <c r="E9" s="2"/>
      <c r="F9" s="112"/>
      <c r="G9" s="111" t="s">
        <v>180</v>
      </c>
      <c r="H9" s="110" t="s">
        <v>51</v>
      </c>
    </row>
    <row r="10" spans="1:8" ht="17.25" thickBot="1" x14ac:dyDescent="0.35">
      <c r="A10" s="108"/>
      <c r="B10" s="109"/>
      <c r="C10" s="108"/>
      <c r="D10" s="108"/>
      <c r="E10" s="2"/>
      <c r="F10" s="107"/>
      <c r="G10" s="106" t="s">
        <v>179</v>
      </c>
      <c r="H10" s="9">
        <v>46104</v>
      </c>
    </row>
    <row r="11" spans="1:8" x14ac:dyDescent="0.3">
      <c r="A11" s="151" t="s">
        <v>178</v>
      </c>
      <c r="B11" s="152"/>
      <c r="C11" s="152"/>
      <c r="D11" s="105"/>
      <c r="E11" s="153" t="s">
        <v>177</v>
      </c>
      <c r="F11" s="153"/>
      <c r="G11" s="153"/>
      <c r="H11" s="154"/>
    </row>
    <row r="12" spans="1:8" x14ac:dyDescent="0.3">
      <c r="A12" s="155" t="s">
        <v>176</v>
      </c>
      <c r="B12" s="156"/>
      <c r="C12" s="156"/>
      <c r="D12" s="104"/>
      <c r="E12" s="156" t="s">
        <v>175</v>
      </c>
      <c r="F12" s="156"/>
      <c r="G12" s="156"/>
      <c r="H12" s="157"/>
    </row>
    <row r="13" spans="1:8" ht="36" customHeight="1" x14ac:dyDescent="0.3">
      <c r="A13" s="158" t="s">
        <v>174</v>
      </c>
      <c r="B13" s="159"/>
      <c r="C13" s="159"/>
      <c r="D13" s="104"/>
      <c r="E13" s="159" t="s">
        <v>173</v>
      </c>
      <c r="F13" s="159"/>
      <c r="G13" s="159"/>
      <c r="H13" s="160"/>
    </row>
    <row r="14" spans="1:8" ht="17.45" customHeight="1" x14ac:dyDescent="0.3">
      <c r="A14" s="161" t="s">
        <v>172</v>
      </c>
      <c r="B14" s="162"/>
      <c r="C14" s="162"/>
      <c r="D14" s="103"/>
      <c r="E14" s="102"/>
      <c r="F14" s="163"/>
      <c r="G14" s="163"/>
      <c r="H14" s="164"/>
    </row>
    <row r="15" spans="1:8" ht="21" customHeight="1" thickBot="1" x14ac:dyDescent="0.35">
      <c r="A15" s="166" t="s">
        <v>171</v>
      </c>
      <c r="B15" s="167"/>
      <c r="C15" s="167"/>
      <c r="D15" s="101"/>
      <c r="E15" s="168" t="s">
        <v>170</v>
      </c>
      <c r="F15" s="168"/>
      <c r="G15" s="168"/>
      <c r="H15" s="169"/>
    </row>
    <row r="16" spans="1:8" ht="5.45" customHeight="1" thickBot="1" x14ac:dyDescent="0.35">
      <c r="A16" s="100"/>
      <c r="B16" s="99"/>
      <c r="C16" s="97"/>
      <c r="D16" s="97"/>
      <c r="E16" s="96"/>
      <c r="F16" s="98"/>
      <c r="G16" s="97"/>
      <c r="H16" s="96"/>
    </row>
    <row r="17" spans="1:8" x14ac:dyDescent="0.3">
      <c r="A17" s="165" t="s">
        <v>169</v>
      </c>
      <c r="B17" s="153"/>
      <c r="C17" s="153"/>
      <c r="D17" s="153"/>
      <c r="E17" s="95" t="s">
        <v>168</v>
      </c>
      <c r="F17" s="94"/>
      <c r="G17" s="93"/>
      <c r="H17" s="92"/>
    </row>
    <row r="18" spans="1:8" x14ac:dyDescent="0.3">
      <c r="A18" s="174" t="s">
        <v>52</v>
      </c>
      <c r="B18" s="175"/>
      <c r="C18" s="175"/>
      <c r="D18" s="175"/>
      <c r="E18" s="178">
        <f>H10</f>
        <v>46104</v>
      </c>
      <c r="F18" s="178"/>
      <c r="G18" s="178"/>
      <c r="H18" s="179"/>
    </row>
    <row r="19" spans="1:8" x14ac:dyDescent="0.3">
      <c r="A19" s="172" t="s">
        <v>167</v>
      </c>
      <c r="B19" s="173"/>
      <c r="C19" s="173"/>
      <c r="D19" s="173"/>
      <c r="E19" s="91" t="s">
        <v>166</v>
      </c>
      <c r="F19" s="90"/>
      <c r="G19" s="89"/>
      <c r="H19" s="88"/>
    </row>
    <row r="20" spans="1:8" x14ac:dyDescent="0.3">
      <c r="A20" s="174" t="s">
        <v>165</v>
      </c>
      <c r="B20" s="175"/>
      <c r="C20" s="175"/>
      <c r="D20" s="175"/>
      <c r="E20" s="180" t="s">
        <v>164</v>
      </c>
      <c r="F20" s="180"/>
      <c r="G20" s="180"/>
      <c r="H20" s="181"/>
    </row>
    <row r="21" spans="1:8" x14ac:dyDescent="0.3">
      <c r="A21" s="172" t="s">
        <v>163</v>
      </c>
      <c r="B21" s="173"/>
      <c r="C21" s="173"/>
      <c r="D21" s="173"/>
      <c r="E21" s="91" t="s">
        <v>162</v>
      </c>
      <c r="F21" s="90"/>
      <c r="G21" s="89"/>
      <c r="H21" s="88"/>
    </row>
    <row r="22" spans="1:8" ht="17.25" thickBot="1" x14ac:dyDescent="0.35">
      <c r="A22" s="144" t="s">
        <v>161</v>
      </c>
      <c r="B22" s="145"/>
      <c r="C22" s="145"/>
      <c r="D22" s="145"/>
      <c r="E22" s="176" t="s">
        <v>160</v>
      </c>
      <c r="F22" s="176"/>
      <c r="G22" s="176"/>
      <c r="H22" s="177"/>
    </row>
    <row r="23" spans="1:8" ht="6" customHeight="1" thickBot="1" x14ac:dyDescent="0.25">
      <c r="A23" s="87"/>
      <c r="B23" s="86"/>
      <c r="C23" s="83"/>
      <c r="D23" s="83"/>
      <c r="E23" s="85"/>
      <c r="F23" s="84"/>
      <c r="G23" s="83"/>
      <c r="H23" s="82"/>
    </row>
    <row r="24" spans="1:8" ht="31.5" x14ac:dyDescent="0.3">
      <c r="A24" s="81" t="s">
        <v>159</v>
      </c>
      <c r="B24" s="80" t="s">
        <v>158</v>
      </c>
      <c r="C24" s="80" t="s">
        <v>157</v>
      </c>
      <c r="D24" s="80" t="s">
        <v>156</v>
      </c>
      <c r="E24" s="80" t="s">
        <v>155</v>
      </c>
      <c r="F24" s="80" t="s">
        <v>154</v>
      </c>
      <c r="G24" s="80" t="s">
        <v>153</v>
      </c>
      <c r="H24" s="79" t="s">
        <v>152</v>
      </c>
    </row>
    <row r="25" spans="1:8" ht="16.899999999999999" customHeight="1" x14ac:dyDescent="0.3">
      <c r="A25" s="148">
        <f>COUNTA($G$25:G25)</f>
        <v>1</v>
      </c>
      <c r="B25" s="122" t="s">
        <v>197</v>
      </c>
      <c r="C25" s="122" t="s">
        <v>196</v>
      </c>
      <c r="D25" s="122" t="s">
        <v>195</v>
      </c>
      <c r="E25" s="122" t="s">
        <v>187</v>
      </c>
      <c r="F25" s="124">
        <v>20</v>
      </c>
      <c r="G25" s="149">
        <v>14</v>
      </c>
      <c r="H25" s="146" t="s">
        <v>151</v>
      </c>
    </row>
    <row r="26" spans="1:8" ht="16.899999999999999" customHeight="1" x14ac:dyDescent="0.3">
      <c r="A26" s="148"/>
      <c r="B26" s="122" t="s">
        <v>194</v>
      </c>
      <c r="C26" s="122" t="s">
        <v>193</v>
      </c>
      <c r="D26" s="122" t="s">
        <v>192</v>
      </c>
      <c r="E26" s="122" t="s">
        <v>187</v>
      </c>
      <c r="F26" s="124">
        <v>20</v>
      </c>
      <c r="G26" s="149"/>
      <c r="H26" s="146"/>
    </row>
    <row r="27" spans="1:8" ht="16.899999999999999" customHeight="1" x14ac:dyDescent="0.3">
      <c r="A27" s="148"/>
      <c r="B27" s="122" t="s">
        <v>191</v>
      </c>
      <c r="C27" s="122" t="s">
        <v>190</v>
      </c>
      <c r="D27" s="122" t="s">
        <v>189</v>
      </c>
      <c r="E27" s="122" t="s">
        <v>187</v>
      </c>
      <c r="F27" s="124">
        <v>10</v>
      </c>
      <c r="G27" s="149"/>
      <c r="H27" s="146"/>
    </row>
    <row r="28" spans="1:8" ht="16.899999999999999" customHeight="1" x14ac:dyDescent="0.3">
      <c r="A28" s="148"/>
      <c r="B28" s="132" t="s">
        <v>188</v>
      </c>
      <c r="C28" s="133" t="s">
        <v>291</v>
      </c>
      <c r="D28" s="133">
        <v>46616</v>
      </c>
      <c r="E28" s="132" t="s">
        <v>187</v>
      </c>
      <c r="F28" s="134">
        <v>10</v>
      </c>
      <c r="G28" s="149"/>
      <c r="H28" s="146"/>
    </row>
    <row r="29" spans="1:8" ht="16.899999999999999" customHeight="1" x14ac:dyDescent="0.3">
      <c r="A29" s="77">
        <f>COUNTA($G$25:G29)</f>
        <v>2</v>
      </c>
      <c r="B29" s="122" t="s">
        <v>200</v>
      </c>
      <c r="C29" s="122" t="s">
        <v>199</v>
      </c>
      <c r="D29" s="122" t="s">
        <v>198</v>
      </c>
      <c r="E29" s="122" t="s">
        <v>187</v>
      </c>
      <c r="F29" s="124">
        <v>60</v>
      </c>
      <c r="G29" s="78">
        <v>14</v>
      </c>
      <c r="H29" s="146"/>
    </row>
    <row r="30" spans="1:8" ht="16.899999999999999" customHeight="1" x14ac:dyDescent="0.3">
      <c r="A30" s="77">
        <f>COUNTA($G$25:G30)</f>
        <v>3</v>
      </c>
      <c r="B30" s="122" t="s">
        <v>200</v>
      </c>
      <c r="C30" s="122" t="s">
        <v>199</v>
      </c>
      <c r="D30" s="122" t="s">
        <v>198</v>
      </c>
      <c r="E30" s="122" t="s">
        <v>187</v>
      </c>
      <c r="F30" s="124">
        <v>60</v>
      </c>
      <c r="G30" s="78">
        <v>14</v>
      </c>
      <c r="H30" s="146"/>
    </row>
    <row r="31" spans="1:8" ht="16.899999999999999" customHeight="1" x14ac:dyDescent="0.3">
      <c r="A31" s="77">
        <f>COUNTA($G$25:G31)</f>
        <v>4</v>
      </c>
      <c r="B31" s="122" t="s">
        <v>200</v>
      </c>
      <c r="C31" s="122" t="s">
        <v>199</v>
      </c>
      <c r="D31" s="122" t="s">
        <v>198</v>
      </c>
      <c r="E31" s="122" t="s">
        <v>187</v>
      </c>
      <c r="F31" s="124">
        <v>60</v>
      </c>
      <c r="G31" s="78">
        <v>14</v>
      </c>
      <c r="H31" s="146"/>
    </row>
    <row r="32" spans="1:8" ht="16.899999999999999" customHeight="1" x14ac:dyDescent="0.3">
      <c r="A32" s="77">
        <f>COUNTA($G$25:G32)</f>
        <v>5</v>
      </c>
      <c r="B32" s="122" t="s">
        <v>200</v>
      </c>
      <c r="C32" s="122" t="s">
        <v>199</v>
      </c>
      <c r="D32" s="122" t="s">
        <v>198</v>
      </c>
      <c r="E32" s="122" t="s">
        <v>187</v>
      </c>
      <c r="F32" s="124">
        <v>60</v>
      </c>
      <c r="G32" s="78">
        <v>14</v>
      </c>
      <c r="H32" s="146"/>
    </row>
    <row r="33" spans="1:8" ht="16.899999999999999" customHeight="1" x14ac:dyDescent="0.3">
      <c r="A33" s="77">
        <f>COUNTA($G$25:G33)</f>
        <v>6</v>
      </c>
      <c r="B33" s="122" t="s">
        <v>200</v>
      </c>
      <c r="C33" s="122" t="s">
        <v>199</v>
      </c>
      <c r="D33" s="122" t="s">
        <v>198</v>
      </c>
      <c r="E33" s="122" t="s">
        <v>187</v>
      </c>
      <c r="F33" s="124">
        <v>60</v>
      </c>
      <c r="G33" s="78">
        <v>14</v>
      </c>
      <c r="H33" s="146"/>
    </row>
    <row r="34" spans="1:8" ht="16.899999999999999" customHeight="1" x14ac:dyDescent="0.3">
      <c r="A34" s="148">
        <f>COUNTA($G$25:G34)</f>
        <v>7</v>
      </c>
      <c r="B34" s="122" t="s">
        <v>210</v>
      </c>
      <c r="C34" s="122" t="s">
        <v>209</v>
      </c>
      <c r="D34" s="122" t="s">
        <v>208</v>
      </c>
      <c r="E34" s="122" t="s">
        <v>187</v>
      </c>
      <c r="F34" s="124">
        <v>40</v>
      </c>
      <c r="G34" s="149">
        <v>14</v>
      </c>
      <c r="H34" s="146"/>
    </row>
    <row r="35" spans="1:8" ht="16.899999999999999" customHeight="1" x14ac:dyDescent="0.3">
      <c r="A35" s="148"/>
      <c r="B35" s="122" t="s">
        <v>207</v>
      </c>
      <c r="C35" s="122" t="s">
        <v>206</v>
      </c>
      <c r="D35" s="122" t="s">
        <v>205</v>
      </c>
      <c r="E35" s="122" t="s">
        <v>187</v>
      </c>
      <c r="F35" s="124">
        <v>10</v>
      </c>
      <c r="G35" s="149"/>
      <c r="H35" s="146"/>
    </row>
    <row r="36" spans="1:8" ht="16.899999999999999" customHeight="1" x14ac:dyDescent="0.3">
      <c r="A36" s="148"/>
      <c r="B36" s="132" t="s">
        <v>204</v>
      </c>
      <c r="C36" s="133" t="s">
        <v>292</v>
      </c>
      <c r="D36" s="133">
        <v>46599</v>
      </c>
      <c r="E36" s="132" t="s">
        <v>187</v>
      </c>
      <c r="F36" s="134">
        <v>5</v>
      </c>
      <c r="G36" s="149"/>
      <c r="H36" s="146"/>
    </row>
    <row r="37" spans="1:8" ht="16.899999999999999" customHeight="1" x14ac:dyDescent="0.3">
      <c r="A37" s="148"/>
      <c r="B37" s="122" t="s">
        <v>203</v>
      </c>
      <c r="C37" s="122" t="s">
        <v>202</v>
      </c>
      <c r="D37" s="122" t="s">
        <v>201</v>
      </c>
      <c r="E37" s="122" t="s">
        <v>187</v>
      </c>
      <c r="F37" s="124">
        <v>5</v>
      </c>
      <c r="G37" s="149"/>
      <c r="H37" s="146"/>
    </row>
    <row r="38" spans="1:8" ht="16.899999999999999" customHeight="1" x14ac:dyDescent="0.3">
      <c r="A38" s="148">
        <f>COUNTA($G$25:G38)</f>
        <v>8</v>
      </c>
      <c r="B38" s="122" t="s">
        <v>219</v>
      </c>
      <c r="C38" s="122" t="s">
        <v>218</v>
      </c>
      <c r="D38" s="122" t="s">
        <v>217</v>
      </c>
      <c r="E38" s="122" t="s">
        <v>187</v>
      </c>
      <c r="F38" s="124">
        <v>20</v>
      </c>
      <c r="G38" s="149">
        <v>14</v>
      </c>
      <c r="H38" s="146"/>
    </row>
    <row r="39" spans="1:8" ht="16.899999999999999" customHeight="1" x14ac:dyDescent="0.3">
      <c r="A39" s="148"/>
      <c r="B39" s="122" t="s">
        <v>216</v>
      </c>
      <c r="C39" s="122" t="s">
        <v>215</v>
      </c>
      <c r="D39" s="122" t="s">
        <v>214</v>
      </c>
      <c r="E39" s="122" t="s">
        <v>187</v>
      </c>
      <c r="F39" s="124">
        <v>20</v>
      </c>
      <c r="G39" s="149"/>
      <c r="H39" s="146"/>
    </row>
    <row r="40" spans="1:8" ht="16.899999999999999" customHeight="1" x14ac:dyDescent="0.3">
      <c r="A40" s="148"/>
      <c r="B40" s="122" t="s">
        <v>213</v>
      </c>
      <c r="C40" s="122" t="s">
        <v>212</v>
      </c>
      <c r="D40" s="122" t="s">
        <v>211</v>
      </c>
      <c r="E40" s="122" t="s">
        <v>187</v>
      </c>
      <c r="F40" s="124">
        <v>20</v>
      </c>
      <c r="G40" s="149"/>
      <c r="H40" s="146"/>
    </row>
    <row r="41" spans="1:8" ht="16.899999999999999" customHeight="1" x14ac:dyDescent="0.3">
      <c r="A41" s="77">
        <f>COUNTA($G$25:G41)</f>
        <v>9</v>
      </c>
      <c r="B41" s="122" t="s">
        <v>222</v>
      </c>
      <c r="C41" s="122" t="s">
        <v>221</v>
      </c>
      <c r="D41" s="122" t="s">
        <v>220</v>
      </c>
      <c r="E41" s="122" t="s">
        <v>187</v>
      </c>
      <c r="F41" s="124">
        <v>60</v>
      </c>
      <c r="G41" s="78">
        <v>14</v>
      </c>
      <c r="H41" s="146"/>
    </row>
    <row r="42" spans="1:8" ht="16.899999999999999" customHeight="1" x14ac:dyDescent="0.3">
      <c r="A42" s="148">
        <f>COUNTA($G$25:G42)</f>
        <v>10</v>
      </c>
      <c r="B42" s="122" t="s">
        <v>222</v>
      </c>
      <c r="C42" s="122" t="s">
        <v>221</v>
      </c>
      <c r="D42" s="122" t="s">
        <v>220</v>
      </c>
      <c r="E42" s="122" t="s">
        <v>187</v>
      </c>
      <c r="F42" s="124">
        <v>40</v>
      </c>
      <c r="G42" s="149">
        <v>14</v>
      </c>
      <c r="H42" s="146"/>
    </row>
    <row r="43" spans="1:8" ht="16.899999999999999" customHeight="1" x14ac:dyDescent="0.3">
      <c r="A43" s="148"/>
      <c r="B43" s="122" t="s">
        <v>225</v>
      </c>
      <c r="C43" s="122" t="s">
        <v>224</v>
      </c>
      <c r="D43" s="122" t="s">
        <v>223</v>
      </c>
      <c r="E43" s="122" t="s">
        <v>187</v>
      </c>
      <c r="F43" s="124">
        <v>20</v>
      </c>
      <c r="G43" s="149"/>
      <c r="H43" s="146"/>
    </row>
    <row r="44" spans="1:8" ht="16.899999999999999" customHeight="1" x14ac:dyDescent="0.3">
      <c r="A44" s="148">
        <f>COUNTA($G$25:G44)</f>
        <v>11</v>
      </c>
      <c r="B44" s="122" t="s">
        <v>231</v>
      </c>
      <c r="C44" s="122" t="s">
        <v>289</v>
      </c>
      <c r="D44" s="123">
        <v>46636</v>
      </c>
      <c r="E44" s="122" t="s">
        <v>187</v>
      </c>
      <c r="F44" s="124">
        <v>50</v>
      </c>
      <c r="G44" s="149">
        <v>14</v>
      </c>
      <c r="H44" s="146"/>
    </row>
    <row r="45" spans="1:8" ht="16.899999999999999" customHeight="1" x14ac:dyDescent="0.3">
      <c r="A45" s="148"/>
      <c r="B45" s="122" t="s">
        <v>230</v>
      </c>
      <c r="C45" s="122" t="s">
        <v>229</v>
      </c>
      <c r="D45" s="122" t="s">
        <v>217</v>
      </c>
      <c r="E45" s="122" t="s">
        <v>187</v>
      </c>
      <c r="F45" s="124">
        <v>5</v>
      </c>
      <c r="G45" s="149"/>
      <c r="H45" s="146"/>
    </row>
    <row r="46" spans="1:8" ht="16.899999999999999" customHeight="1" x14ac:dyDescent="0.3">
      <c r="A46" s="148"/>
      <c r="B46" s="122" t="s">
        <v>228</v>
      </c>
      <c r="C46" s="122" t="s">
        <v>227</v>
      </c>
      <c r="D46" s="122" t="s">
        <v>226</v>
      </c>
      <c r="E46" s="122" t="s">
        <v>187</v>
      </c>
      <c r="F46" s="124">
        <v>5</v>
      </c>
      <c r="G46" s="149"/>
      <c r="H46" s="146"/>
    </row>
    <row r="47" spans="1:8" ht="16.899999999999999" customHeight="1" x14ac:dyDescent="0.3">
      <c r="A47" s="148">
        <f>COUNTA($G$25:G47)</f>
        <v>12</v>
      </c>
      <c r="B47" s="122" t="s">
        <v>238</v>
      </c>
      <c r="C47" s="122" t="s">
        <v>237</v>
      </c>
      <c r="D47" s="122" t="s">
        <v>236</v>
      </c>
      <c r="E47" s="122" t="s">
        <v>187</v>
      </c>
      <c r="F47" s="124">
        <v>50</v>
      </c>
      <c r="G47" s="149">
        <v>14</v>
      </c>
      <c r="H47" s="146"/>
    </row>
    <row r="48" spans="1:8" ht="16.899999999999999" customHeight="1" x14ac:dyDescent="0.3">
      <c r="A48" s="148"/>
      <c r="B48" s="122" t="s">
        <v>235</v>
      </c>
      <c r="C48" s="122" t="s">
        <v>288</v>
      </c>
      <c r="D48" s="123">
        <v>46601</v>
      </c>
      <c r="E48" s="122" t="s">
        <v>187</v>
      </c>
      <c r="F48" s="124">
        <v>5</v>
      </c>
      <c r="G48" s="149"/>
      <c r="H48" s="146"/>
    </row>
    <row r="49" spans="1:8" ht="16.899999999999999" customHeight="1" x14ac:dyDescent="0.3">
      <c r="A49" s="148"/>
      <c r="B49" s="122" t="s">
        <v>234</v>
      </c>
      <c r="C49" s="122" t="s">
        <v>233</v>
      </c>
      <c r="D49" s="122" t="s">
        <v>232</v>
      </c>
      <c r="E49" s="122" t="s">
        <v>187</v>
      </c>
      <c r="F49" s="124">
        <v>5</v>
      </c>
      <c r="G49" s="149"/>
      <c r="H49" s="146"/>
    </row>
    <row r="50" spans="1:8" ht="16.899999999999999" customHeight="1" x14ac:dyDescent="0.3">
      <c r="A50" s="148">
        <f>COUNTA($G$25:G50)</f>
        <v>13</v>
      </c>
      <c r="B50" s="127" t="s">
        <v>240</v>
      </c>
      <c r="C50" s="122" t="s">
        <v>239</v>
      </c>
      <c r="D50" s="122" t="s">
        <v>201</v>
      </c>
      <c r="E50" s="122" t="s">
        <v>187</v>
      </c>
      <c r="F50" s="124">
        <v>50</v>
      </c>
      <c r="G50" s="149">
        <v>14</v>
      </c>
      <c r="H50" s="146"/>
    </row>
    <row r="51" spans="1:8" ht="16.899999999999999" customHeight="1" x14ac:dyDescent="0.3">
      <c r="A51" s="148"/>
      <c r="B51" s="127" t="s">
        <v>244</v>
      </c>
      <c r="C51" s="122" t="s">
        <v>243</v>
      </c>
      <c r="D51" s="122" t="s">
        <v>220</v>
      </c>
      <c r="E51" s="122" t="s">
        <v>187</v>
      </c>
      <c r="F51" s="124">
        <v>10</v>
      </c>
      <c r="G51" s="149"/>
      <c r="H51" s="146"/>
    </row>
    <row r="52" spans="1:8" ht="16.899999999999999" customHeight="1" x14ac:dyDescent="0.3">
      <c r="A52" s="148">
        <f>COUNTA($G$25:G52)</f>
        <v>14</v>
      </c>
      <c r="B52" s="127" t="s">
        <v>244</v>
      </c>
      <c r="C52" s="122" t="s">
        <v>243</v>
      </c>
      <c r="D52" s="122" t="s">
        <v>220</v>
      </c>
      <c r="E52" s="122" t="s">
        <v>187</v>
      </c>
      <c r="F52" s="124">
        <v>10</v>
      </c>
      <c r="G52" s="149">
        <v>14</v>
      </c>
      <c r="H52" s="146"/>
    </row>
    <row r="53" spans="1:8" ht="16.899999999999999" customHeight="1" x14ac:dyDescent="0.3">
      <c r="A53" s="148"/>
      <c r="B53" s="127" t="s">
        <v>242</v>
      </c>
      <c r="C53" s="122" t="s">
        <v>241</v>
      </c>
      <c r="D53" s="122" t="s">
        <v>214</v>
      </c>
      <c r="E53" s="122" t="s">
        <v>187</v>
      </c>
      <c r="F53" s="124">
        <v>20</v>
      </c>
      <c r="G53" s="149"/>
      <c r="H53" s="146"/>
    </row>
    <row r="54" spans="1:8" ht="16.899999999999999" customHeight="1" x14ac:dyDescent="0.3">
      <c r="A54" s="148"/>
      <c r="B54" s="125" t="s">
        <v>246</v>
      </c>
      <c r="C54" s="122" t="s">
        <v>287</v>
      </c>
      <c r="D54" s="123">
        <v>49678</v>
      </c>
      <c r="E54" s="122" t="s">
        <v>245</v>
      </c>
      <c r="F54" s="124">
        <v>20</v>
      </c>
      <c r="G54" s="149"/>
      <c r="H54" s="146"/>
    </row>
    <row r="55" spans="1:8" ht="16.899999999999999" customHeight="1" x14ac:dyDescent="0.3">
      <c r="A55" s="148"/>
      <c r="B55" s="122" t="s">
        <v>249</v>
      </c>
      <c r="C55" s="122" t="s">
        <v>248</v>
      </c>
      <c r="D55" s="122" t="s">
        <v>247</v>
      </c>
      <c r="E55" s="122" t="s">
        <v>187</v>
      </c>
      <c r="F55" s="124">
        <v>2</v>
      </c>
      <c r="G55" s="149"/>
      <c r="H55" s="146"/>
    </row>
    <row r="56" spans="1:8" ht="16.899999999999999" customHeight="1" x14ac:dyDescent="0.3">
      <c r="A56" s="77">
        <f>COUNTA($G$25:G56)</f>
        <v>15</v>
      </c>
      <c r="B56" s="122" t="s">
        <v>259</v>
      </c>
      <c r="C56" s="122" t="s">
        <v>258</v>
      </c>
      <c r="D56" s="122" t="s">
        <v>257</v>
      </c>
      <c r="E56" s="122" t="s">
        <v>256</v>
      </c>
      <c r="F56" s="124">
        <v>100</v>
      </c>
      <c r="G56" s="78">
        <f t="shared" ref="G56:G58" si="0">0.11*100+2</f>
        <v>13</v>
      </c>
      <c r="H56" s="146"/>
    </row>
    <row r="57" spans="1:8" ht="16.899999999999999" customHeight="1" x14ac:dyDescent="0.3">
      <c r="A57" s="77">
        <f>COUNTA($G$25:G57)</f>
        <v>16</v>
      </c>
      <c r="B57" s="122" t="s">
        <v>259</v>
      </c>
      <c r="C57" s="122" t="s">
        <v>258</v>
      </c>
      <c r="D57" s="122" t="s">
        <v>257</v>
      </c>
      <c r="E57" s="122" t="s">
        <v>256</v>
      </c>
      <c r="F57" s="124">
        <v>100</v>
      </c>
      <c r="G57" s="78">
        <f t="shared" si="0"/>
        <v>13</v>
      </c>
      <c r="H57" s="146"/>
    </row>
    <row r="58" spans="1:8" ht="16.899999999999999" customHeight="1" x14ac:dyDescent="0.3">
      <c r="A58" s="77">
        <f>COUNTA($G$25:G58)</f>
        <v>17</v>
      </c>
      <c r="B58" s="122" t="s">
        <v>259</v>
      </c>
      <c r="C58" s="122" t="s">
        <v>258</v>
      </c>
      <c r="D58" s="122" t="s">
        <v>257</v>
      </c>
      <c r="E58" s="122" t="s">
        <v>256</v>
      </c>
      <c r="F58" s="124">
        <v>100</v>
      </c>
      <c r="G58" s="78">
        <f t="shared" si="0"/>
        <v>13</v>
      </c>
      <c r="H58" s="146"/>
    </row>
    <row r="59" spans="1:8" ht="16.899999999999999" customHeight="1" x14ac:dyDescent="0.3">
      <c r="A59" s="77">
        <f>COUNTA($G$25:G59)</f>
        <v>18</v>
      </c>
      <c r="B59" s="122" t="s">
        <v>254</v>
      </c>
      <c r="C59" s="122" t="s">
        <v>286</v>
      </c>
      <c r="D59" s="123">
        <v>46684</v>
      </c>
      <c r="E59" s="122" t="s">
        <v>187</v>
      </c>
      <c r="F59" s="124">
        <v>36</v>
      </c>
      <c r="G59" s="78">
        <f t="shared" ref="G59:G60" si="1">0.51*36+2</f>
        <v>20.36</v>
      </c>
      <c r="H59" s="146" t="s">
        <v>255</v>
      </c>
    </row>
    <row r="60" spans="1:8" ht="16.899999999999999" customHeight="1" x14ac:dyDescent="0.3">
      <c r="A60" s="77">
        <f>COUNTA($G$25:G60)</f>
        <v>19</v>
      </c>
      <c r="B60" s="122" t="s">
        <v>254</v>
      </c>
      <c r="C60" s="122" t="s">
        <v>253</v>
      </c>
      <c r="D60" s="123">
        <v>46684</v>
      </c>
      <c r="E60" s="122" t="s">
        <v>187</v>
      </c>
      <c r="F60" s="124">
        <v>36</v>
      </c>
      <c r="G60" s="78">
        <f t="shared" si="1"/>
        <v>20.36</v>
      </c>
      <c r="H60" s="146"/>
    </row>
    <row r="61" spans="1:8" ht="16.899999999999999" customHeight="1" x14ac:dyDescent="0.3">
      <c r="A61" s="77">
        <f>COUNTA($G$25:G61)</f>
        <v>20</v>
      </c>
      <c r="B61" s="122" t="s">
        <v>254</v>
      </c>
      <c r="C61" s="122" t="s">
        <v>253</v>
      </c>
      <c r="D61" s="123">
        <v>46684</v>
      </c>
      <c r="E61" s="122" t="s">
        <v>187</v>
      </c>
      <c r="F61" s="124">
        <v>28</v>
      </c>
      <c r="G61" s="78">
        <f>0.51*28+2</f>
        <v>16.28</v>
      </c>
      <c r="H61" s="146"/>
    </row>
    <row r="62" spans="1:8" ht="16.899999999999999" customHeight="1" x14ac:dyDescent="0.3">
      <c r="A62" s="77">
        <f>COUNTA($G$25:G62)</f>
        <v>21</v>
      </c>
      <c r="B62" s="122" t="s">
        <v>252</v>
      </c>
      <c r="C62" s="122" t="s">
        <v>251</v>
      </c>
      <c r="D62" s="122" t="s">
        <v>250</v>
      </c>
      <c r="E62" s="122" t="s">
        <v>187</v>
      </c>
      <c r="F62" s="124">
        <v>36</v>
      </c>
      <c r="G62" s="78">
        <f t="shared" ref="G62:G63" si="2">0.51*36+2</f>
        <v>20.36</v>
      </c>
      <c r="H62" s="146"/>
    </row>
    <row r="63" spans="1:8" ht="16.899999999999999" customHeight="1" x14ac:dyDescent="0.3">
      <c r="A63" s="77">
        <f>COUNTA($G$25:G63)</f>
        <v>22</v>
      </c>
      <c r="B63" s="122" t="s">
        <v>252</v>
      </c>
      <c r="C63" s="122" t="s">
        <v>251</v>
      </c>
      <c r="D63" s="122" t="s">
        <v>250</v>
      </c>
      <c r="E63" s="122" t="s">
        <v>187</v>
      </c>
      <c r="F63" s="124">
        <v>36</v>
      </c>
      <c r="G63" s="78">
        <f t="shared" si="2"/>
        <v>20.36</v>
      </c>
      <c r="H63" s="146"/>
    </row>
    <row r="64" spans="1:8" ht="16.899999999999999" customHeight="1" x14ac:dyDescent="0.3">
      <c r="A64" s="77">
        <f>COUNTA($G$25:G64)</f>
        <v>23</v>
      </c>
      <c r="B64" s="122" t="s">
        <v>252</v>
      </c>
      <c r="C64" s="122" t="s">
        <v>251</v>
      </c>
      <c r="D64" s="122" t="s">
        <v>250</v>
      </c>
      <c r="E64" s="122" t="s">
        <v>187</v>
      </c>
      <c r="F64" s="124">
        <f>100-72</f>
        <v>28</v>
      </c>
      <c r="G64" s="78">
        <f>0.51*28+2</f>
        <v>16.28</v>
      </c>
      <c r="H64" s="146"/>
    </row>
    <row r="65" spans="1:8" ht="16.899999999999999" customHeight="1" x14ac:dyDescent="0.3">
      <c r="A65" s="148">
        <f>COUNTA($G$25:G65)</f>
        <v>24</v>
      </c>
      <c r="B65" s="128" t="s">
        <v>244</v>
      </c>
      <c r="C65" s="122" t="s">
        <v>243</v>
      </c>
      <c r="D65" s="122" t="s">
        <v>220</v>
      </c>
      <c r="E65" s="122" t="s">
        <v>187</v>
      </c>
      <c r="F65" s="124">
        <v>20</v>
      </c>
      <c r="G65" s="149">
        <v>10</v>
      </c>
      <c r="H65" s="146" t="s">
        <v>260</v>
      </c>
    </row>
    <row r="66" spans="1:8" ht="16.899999999999999" customHeight="1" x14ac:dyDescent="0.3">
      <c r="A66" s="148"/>
      <c r="B66" s="128" t="s">
        <v>242</v>
      </c>
      <c r="C66" s="122" t="s">
        <v>241</v>
      </c>
      <c r="D66" s="122" t="s">
        <v>214</v>
      </c>
      <c r="E66" s="122" t="s">
        <v>187</v>
      </c>
      <c r="F66" s="124">
        <v>20</v>
      </c>
      <c r="G66" s="149"/>
      <c r="H66" s="146"/>
    </row>
    <row r="67" spans="1:8" ht="16.899999999999999" customHeight="1" x14ac:dyDescent="0.3">
      <c r="A67" s="148"/>
      <c r="B67" s="128" t="s">
        <v>240</v>
      </c>
      <c r="C67" s="122" t="s">
        <v>239</v>
      </c>
      <c r="D67" s="122" t="s">
        <v>201</v>
      </c>
      <c r="E67" s="122" t="s">
        <v>187</v>
      </c>
      <c r="F67" s="124">
        <v>50</v>
      </c>
      <c r="G67" s="149"/>
      <c r="H67" s="146"/>
    </row>
    <row r="68" spans="1:8" ht="16.899999999999999" customHeight="1" x14ac:dyDescent="0.3">
      <c r="A68" s="148">
        <f>COUNTA($G$25:G68)</f>
        <v>25</v>
      </c>
      <c r="B68" s="122" t="s">
        <v>283</v>
      </c>
      <c r="C68" s="122" t="s">
        <v>282</v>
      </c>
      <c r="D68" s="123">
        <v>46356</v>
      </c>
      <c r="E68" s="122" t="s">
        <v>103</v>
      </c>
      <c r="F68" s="124">
        <v>2</v>
      </c>
      <c r="G68" s="149">
        <v>13</v>
      </c>
      <c r="H68" s="146"/>
    </row>
    <row r="69" spans="1:8" ht="16.899999999999999" customHeight="1" x14ac:dyDescent="0.3">
      <c r="A69" s="148"/>
      <c r="B69" s="122" t="s">
        <v>105</v>
      </c>
      <c r="C69" s="122" t="s">
        <v>281</v>
      </c>
      <c r="D69" s="123">
        <v>46418</v>
      </c>
      <c r="E69" s="122" t="s">
        <v>103</v>
      </c>
      <c r="F69" s="124">
        <v>5</v>
      </c>
      <c r="G69" s="149"/>
      <c r="H69" s="146"/>
    </row>
    <row r="70" spans="1:8" ht="16.899999999999999" customHeight="1" x14ac:dyDescent="0.3">
      <c r="A70" s="148"/>
      <c r="B70" s="122" t="s">
        <v>107</v>
      </c>
      <c r="C70" s="122" t="s">
        <v>280</v>
      </c>
      <c r="D70" s="123">
        <v>46387</v>
      </c>
      <c r="E70" s="122" t="s">
        <v>279</v>
      </c>
      <c r="F70" s="124">
        <v>5</v>
      </c>
      <c r="G70" s="149"/>
      <c r="H70" s="146"/>
    </row>
    <row r="71" spans="1:8" ht="16.899999999999999" customHeight="1" x14ac:dyDescent="0.3">
      <c r="A71" s="148"/>
      <c r="B71" s="122" t="s">
        <v>110</v>
      </c>
      <c r="C71" s="122" t="s">
        <v>278</v>
      </c>
      <c r="D71" s="123">
        <v>46418</v>
      </c>
      <c r="E71" s="122" t="s">
        <v>103</v>
      </c>
      <c r="F71" s="124">
        <v>5</v>
      </c>
      <c r="G71" s="149"/>
      <c r="H71" s="146"/>
    </row>
    <row r="72" spans="1:8" ht="16.899999999999999" customHeight="1" x14ac:dyDescent="0.3">
      <c r="A72" s="148"/>
      <c r="B72" s="122" t="s">
        <v>112</v>
      </c>
      <c r="C72" s="122" t="s">
        <v>277</v>
      </c>
      <c r="D72" s="123">
        <v>46418</v>
      </c>
      <c r="E72" s="122" t="s">
        <v>103</v>
      </c>
      <c r="F72" s="124">
        <v>20</v>
      </c>
      <c r="G72" s="149"/>
      <c r="H72" s="146"/>
    </row>
    <row r="73" spans="1:8" ht="16.899999999999999" customHeight="1" x14ac:dyDescent="0.3">
      <c r="A73" s="148"/>
      <c r="B73" s="122" t="s">
        <v>114</v>
      </c>
      <c r="C73" s="122" t="s">
        <v>276</v>
      </c>
      <c r="D73" s="123">
        <v>46446</v>
      </c>
      <c r="E73" s="122" t="s">
        <v>103</v>
      </c>
      <c r="F73" s="124">
        <v>5</v>
      </c>
      <c r="G73" s="149"/>
      <c r="H73" s="146"/>
    </row>
    <row r="74" spans="1:8" ht="16.899999999999999" customHeight="1" x14ac:dyDescent="0.3">
      <c r="A74" s="148"/>
      <c r="B74" s="122" t="s">
        <v>116</v>
      </c>
      <c r="C74" s="122" t="s">
        <v>275</v>
      </c>
      <c r="D74" s="123">
        <v>46418</v>
      </c>
      <c r="E74" s="122" t="s">
        <v>103</v>
      </c>
      <c r="F74" s="124">
        <v>5</v>
      </c>
      <c r="G74" s="149"/>
      <c r="H74" s="146"/>
    </row>
    <row r="75" spans="1:8" ht="16.899999999999999" customHeight="1" x14ac:dyDescent="0.3">
      <c r="A75" s="148"/>
      <c r="B75" s="122" t="s">
        <v>118</v>
      </c>
      <c r="C75" s="122" t="s">
        <v>274</v>
      </c>
      <c r="D75" s="123">
        <v>46446</v>
      </c>
      <c r="E75" s="122" t="s">
        <v>103</v>
      </c>
      <c r="F75" s="124">
        <v>10</v>
      </c>
      <c r="G75" s="149"/>
      <c r="H75" s="146"/>
    </row>
    <row r="76" spans="1:8" ht="16.899999999999999" customHeight="1" x14ac:dyDescent="0.3">
      <c r="A76" s="148"/>
      <c r="B76" s="122" t="s">
        <v>120</v>
      </c>
      <c r="C76" s="122" t="s">
        <v>273</v>
      </c>
      <c r="D76" s="123">
        <v>46356</v>
      </c>
      <c r="E76" s="122" t="s">
        <v>103</v>
      </c>
      <c r="F76" s="124">
        <v>1</v>
      </c>
      <c r="G76" s="149"/>
      <c r="H76" s="146"/>
    </row>
    <row r="77" spans="1:8" ht="16.899999999999999" customHeight="1" x14ac:dyDescent="0.3">
      <c r="A77" s="148"/>
      <c r="B77" s="122" t="s">
        <v>130</v>
      </c>
      <c r="C77" s="122" t="s">
        <v>272</v>
      </c>
      <c r="D77" s="123">
        <v>46418</v>
      </c>
      <c r="E77" s="122" t="s">
        <v>103</v>
      </c>
      <c r="F77" s="124">
        <v>5</v>
      </c>
      <c r="G77" s="149"/>
      <c r="H77" s="146"/>
    </row>
    <row r="78" spans="1:8" ht="16.899999999999999" customHeight="1" x14ac:dyDescent="0.3">
      <c r="A78" s="148"/>
      <c r="B78" s="122" t="s">
        <v>134</v>
      </c>
      <c r="C78" s="122" t="s">
        <v>271</v>
      </c>
      <c r="D78" s="123">
        <v>46418</v>
      </c>
      <c r="E78" s="122" t="s">
        <v>103</v>
      </c>
      <c r="F78" s="124">
        <v>5</v>
      </c>
      <c r="G78" s="149"/>
      <c r="H78" s="146"/>
    </row>
    <row r="79" spans="1:8" ht="16.899999999999999" customHeight="1" x14ac:dyDescent="0.3">
      <c r="A79" s="148"/>
      <c r="B79" s="122" t="s">
        <v>122</v>
      </c>
      <c r="C79" s="122" t="s">
        <v>270</v>
      </c>
      <c r="D79" s="123">
        <v>46356</v>
      </c>
      <c r="E79" s="122" t="s">
        <v>103</v>
      </c>
      <c r="F79" s="124">
        <v>20</v>
      </c>
      <c r="G79" s="149"/>
      <c r="H79" s="146"/>
    </row>
    <row r="80" spans="1:8" ht="16.899999999999999" customHeight="1" x14ac:dyDescent="0.3">
      <c r="A80" s="148"/>
      <c r="B80" s="122" t="s">
        <v>124</v>
      </c>
      <c r="C80" s="122" t="s">
        <v>269</v>
      </c>
      <c r="D80" s="123">
        <v>46356</v>
      </c>
      <c r="E80" s="122" t="s">
        <v>103</v>
      </c>
      <c r="F80" s="124">
        <v>10</v>
      </c>
      <c r="G80" s="149"/>
      <c r="H80" s="146"/>
    </row>
    <row r="81" spans="1:9" ht="16.899999999999999" customHeight="1" x14ac:dyDescent="0.3">
      <c r="A81" s="148"/>
      <c r="B81" s="122" t="s">
        <v>126</v>
      </c>
      <c r="C81" s="122" t="s">
        <v>285</v>
      </c>
      <c r="D81" s="123">
        <v>46477</v>
      </c>
      <c r="E81" s="122" t="s">
        <v>103</v>
      </c>
      <c r="F81" s="124">
        <v>5</v>
      </c>
      <c r="G81" s="149"/>
      <c r="H81" s="146"/>
    </row>
    <row r="82" spans="1:9" ht="16.899999999999999" customHeight="1" x14ac:dyDescent="0.3">
      <c r="A82" s="148"/>
      <c r="B82" s="122" t="s">
        <v>268</v>
      </c>
      <c r="C82" s="122" t="s">
        <v>267</v>
      </c>
      <c r="D82" s="123">
        <v>46446</v>
      </c>
      <c r="E82" s="122" t="s">
        <v>103</v>
      </c>
      <c r="F82" s="124">
        <v>5</v>
      </c>
      <c r="G82" s="149"/>
      <c r="H82" s="146"/>
    </row>
    <row r="83" spans="1:9" ht="16.899999999999999" customHeight="1" x14ac:dyDescent="0.3">
      <c r="A83" s="148"/>
      <c r="B83" s="122" t="s">
        <v>132</v>
      </c>
      <c r="C83" s="122" t="s">
        <v>266</v>
      </c>
      <c r="D83" s="123">
        <v>46356</v>
      </c>
      <c r="E83" s="122" t="s">
        <v>103</v>
      </c>
      <c r="F83" s="124">
        <v>10</v>
      </c>
      <c r="G83" s="149"/>
      <c r="H83" s="146"/>
    </row>
    <row r="84" spans="1:9" ht="16.899999999999999" customHeight="1" x14ac:dyDescent="0.3">
      <c r="A84" s="148"/>
      <c r="B84" s="125" t="s">
        <v>265</v>
      </c>
      <c r="C84" s="122" t="s">
        <v>290</v>
      </c>
      <c r="D84" s="122" t="s">
        <v>264</v>
      </c>
      <c r="E84" s="122" t="s">
        <v>263</v>
      </c>
      <c r="F84" s="124">
        <v>5</v>
      </c>
      <c r="G84" s="149"/>
      <c r="H84" s="146"/>
    </row>
    <row r="85" spans="1:9" ht="16.899999999999999" customHeight="1" thickBot="1" x14ac:dyDescent="0.35">
      <c r="A85" s="170"/>
      <c r="B85" s="129" t="s">
        <v>262</v>
      </c>
      <c r="C85" s="130" t="s">
        <v>284</v>
      </c>
      <c r="D85" s="131">
        <v>46284</v>
      </c>
      <c r="E85" s="130" t="s">
        <v>261</v>
      </c>
      <c r="F85" s="126">
        <v>10</v>
      </c>
      <c r="G85" s="171"/>
      <c r="H85" s="147"/>
    </row>
    <row r="86" spans="1:9" ht="24" customHeight="1" x14ac:dyDescent="0.3">
      <c r="A86" s="73"/>
      <c r="B86" s="136"/>
      <c r="C86" s="136"/>
      <c r="D86" s="136"/>
      <c r="E86" s="137"/>
      <c r="F86" s="138">
        <f>A68</f>
        <v>25</v>
      </c>
      <c r="G86" s="139"/>
      <c r="H86" s="140"/>
    </row>
    <row r="87" spans="1:9" ht="24" customHeight="1" x14ac:dyDescent="0.3">
      <c r="A87" s="73"/>
      <c r="B87" s="136"/>
      <c r="C87" s="136"/>
      <c r="D87" s="136"/>
      <c r="E87" s="137"/>
      <c r="F87" s="76"/>
      <c r="G87" s="75"/>
      <c r="H87" s="74">
        <f>F88-2*F86</f>
        <v>322</v>
      </c>
    </row>
    <row r="88" spans="1:9" ht="24" customHeight="1" thickBot="1" x14ac:dyDescent="0.35">
      <c r="A88" s="73"/>
      <c r="B88" s="136"/>
      <c r="C88" s="136"/>
      <c r="D88" s="136"/>
      <c r="E88" s="137"/>
      <c r="F88" s="141">
        <f>SUM(G25:G85)</f>
        <v>372</v>
      </c>
      <c r="G88" s="142"/>
      <c r="H88" s="143"/>
      <c r="I88" s="72"/>
    </row>
    <row r="89" spans="1:9" x14ac:dyDescent="0.3">
      <c r="A89" s="20"/>
      <c r="B89" s="71"/>
      <c r="C89" s="20"/>
      <c r="D89" s="20"/>
      <c r="E89" s="70"/>
      <c r="F89" s="68"/>
      <c r="G89" s="69"/>
      <c r="H89" s="68"/>
    </row>
    <row r="90" spans="1:9" ht="23.45" customHeight="1" x14ac:dyDescent="0.3">
      <c r="A90" s="135" t="s">
        <v>150</v>
      </c>
      <c r="B90" s="135"/>
      <c r="C90" s="135"/>
      <c r="D90" s="135"/>
      <c r="E90" s="135"/>
      <c r="F90" s="135"/>
      <c r="G90" s="135"/>
      <c r="H90" s="135"/>
    </row>
    <row r="91" spans="1:9" ht="15.6" customHeight="1" x14ac:dyDescent="0.3">
      <c r="A91" s="67"/>
      <c r="B91" s="66"/>
      <c r="C91" s="64"/>
      <c r="D91" s="64"/>
      <c r="E91" s="63"/>
      <c r="F91" s="65"/>
      <c r="G91" s="64"/>
      <c r="H91" s="63"/>
    </row>
    <row r="92" spans="1:9" x14ac:dyDescent="0.3">
      <c r="A92" s="57"/>
      <c r="B92" s="62" t="s">
        <v>149</v>
      </c>
      <c r="C92" s="57"/>
      <c r="D92" s="57"/>
      <c r="E92" s="56"/>
      <c r="F92" s="58"/>
      <c r="G92" s="57"/>
      <c r="H92" s="56"/>
    </row>
    <row r="93" spans="1:9" x14ac:dyDescent="0.3">
      <c r="A93" s="57"/>
      <c r="B93" s="61" t="s">
        <v>148</v>
      </c>
      <c r="C93" s="57"/>
      <c r="D93" s="57"/>
      <c r="E93" s="56"/>
      <c r="F93" s="58"/>
      <c r="G93" s="57"/>
      <c r="H93" s="56"/>
    </row>
    <row r="94" spans="1:9" x14ac:dyDescent="0.3">
      <c r="A94" s="57"/>
      <c r="B94" s="60" t="s">
        <v>147</v>
      </c>
      <c r="C94" s="57"/>
      <c r="D94" s="57"/>
      <c r="E94" s="56"/>
      <c r="F94" s="58"/>
      <c r="G94" s="57"/>
      <c r="H94" s="56"/>
    </row>
    <row r="95" spans="1:9" x14ac:dyDescent="0.3">
      <c r="A95" s="57"/>
      <c r="B95" s="59"/>
      <c r="C95" s="57"/>
      <c r="D95" s="57"/>
      <c r="E95" s="56"/>
      <c r="F95" s="58"/>
      <c r="G95" s="57"/>
      <c r="H95" s="56"/>
    </row>
  </sheetData>
  <mergeCells count="47">
    <mergeCell ref="A68:A85"/>
    <mergeCell ref="G65:G67"/>
    <mergeCell ref="G68:G85"/>
    <mergeCell ref="A21:D21"/>
    <mergeCell ref="A18:D18"/>
    <mergeCell ref="G25:G28"/>
    <mergeCell ref="G34:G37"/>
    <mergeCell ref="G38:G40"/>
    <mergeCell ref="E22:H22"/>
    <mergeCell ref="E18:H18"/>
    <mergeCell ref="A19:D19"/>
    <mergeCell ref="A20:D20"/>
    <mergeCell ref="E20:H20"/>
    <mergeCell ref="A25:A28"/>
    <mergeCell ref="A34:A37"/>
    <mergeCell ref="A38:A40"/>
    <mergeCell ref="H25:H58"/>
    <mergeCell ref="G42:G43"/>
    <mergeCell ref="A52:A55"/>
    <mergeCell ref="F1:H1"/>
    <mergeCell ref="A11:C11"/>
    <mergeCell ref="E11:H11"/>
    <mergeCell ref="A12:C12"/>
    <mergeCell ref="E12:H12"/>
    <mergeCell ref="A13:C13"/>
    <mergeCell ref="E13:H13"/>
    <mergeCell ref="A14:C14"/>
    <mergeCell ref="F14:H14"/>
    <mergeCell ref="A17:D17"/>
    <mergeCell ref="A15:C15"/>
    <mergeCell ref="E15:H15"/>
    <mergeCell ref="A90:H90"/>
    <mergeCell ref="B86:E88"/>
    <mergeCell ref="F86:H86"/>
    <mergeCell ref="F88:H88"/>
    <mergeCell ref="A22:D22"/>
    <mergeCell ref="H65:H85"/>
    <mergeCell ref="A42:A43"/>
    <mergeCell ref="A44:A46"/>
    <mergeCell ref="A47:A49"/>
    <mergeCell ref="A50:A51"/>
    <mergeCell ref="G44:G46"/>
    <mergeCell ref="G47:G49"/>
    <mergeCell ref="G50:G51"/>
    <mergeCell ref="G52:G55"/>
    <mergeCell ref="H59:H64"/>
    <mergeCell ref="A65:A67"/>
  </mergeCells>
  <phoneticPr fontId="37" type="noConversion"/>
  <conditionalFormatting sqref="H9:H10">
    <cfRule type="containsBlanks" dxfId="0" priority="1">
      <formula>LEN(TRIM(H9))=0</formula>
    </cfRule>
  </conditionalFormatting>
  <pageMargins left="0.7" right="0.7" top="0.75" bottom="0.75" header="0.3" footer="0.3"/>
  <pageSetup paperSize="9" scale="44" orientation="portrait" verticalDpi="0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CI</vt:lpstr>
      <vt:lpstr>PL</vt:lpstr>
      <vt:lpstr>CI!Print_Area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아이게림 AIGERIM TURARBEKOVA</dc:creator>
  <cp:lastModifiedBy>김민혜 KIM MIN HYE</cp:lastModifiedBy>
  <cp:lastPrinted>2026-03-22T23:26:41Z</cp:lastPrinted>
  <dcterms:created xsi:type="dcterms:W3CDTF">2024-11-18T05:45:51Z</dcterms:created>
  <dcterms:modified xsi:type="dcterms:W3CDTF">2026-05-06T02:34:26Z</dcterms:modified>
</cp:coreProperties>
</file>